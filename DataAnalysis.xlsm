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d.docs.live.net/a0b8e55f8e54fd1a/Desktop/Agri data/"/>
    </mc:Choice>
  </mc:AlternateContent>
  <xr:revisionPtr revIDLastSave="131" documentId="14_{FCD5E0F7-F2B4-43C6-8EC0-51B30A1CC70C}" xr6:coauthVersionLast="47" xr6:coauthVersionMax="47" xr10:uidLastSave="{F4C03ADE-44BB-45A8-8AEB-B51724BE78EE}"/>
  <bookViews>
    <workbookView xWindow="-104" yWindow="-104" windowWidth="20098" windowHeight="11396" activeTab="3" xr2:uid="{42BC4B22-B465-448D-9801-7867573C21D5}"/>
  </bookViews>
  <sheets>
    <sheet name="Sheet1" sheetId="1" r:id="rId1"/>
    <sheet name="Sheet5" sheetId="5" state="veryHidden" r:id="rId2"/>
    <sheet name="Sheet8" sheetId="10" state="veryHidden" r:id="rId3"/>
    <sheet name="DashBoard" sheetId="9" r:id="rId4"/>
    <sheet name="Sheet9" sheetId="11" state="veryHidden" r:id="rId5"/>
    <sheet name="Sheet10" sheetId="12" state="veryHidden" r:id="rId6"/>
  </sheets>
  <definedNames>
    <definedName name="_xlcn.WorksheetConnection_DataAnalysis1.xlsxTable_Table3" hidden="1">Table_Table3</definedName>
    <definedName name="_xlcn.WorksheetConnection_DataAnalysis1.xlsxTable_Table3__27" hidden="1">Table_Table3__27</definedName>
    <definedName name="Slicer_Column1">#N/A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Table3__27" name="Table_Table3__27" connection="WorksheetConnection_DataAnalysis1.xlsx!Table_Table3__27"/>
          <x15:modelTable id="Table_Table3" name="Table_Table3" connection="WorksheetConnection_DataAnalysis1.xlsx!Table_Table3"/>
        </x15:modelTables>
        <x15:modelRelationships>
          <x15:modelRelationship fromTable="Table_Table3" fromColumn="Column1" toTable="Table_Table3__27" toColumn="Column1"/>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 l="1"/>
  <c r="A27" i="1" s="1"/>
  <c r="A28" i="1" s="1"/>
  <c r="A29" i="1" s="1"/>
  <c r="A30" i="1" s="1"/>
  <c r="A31" i="1" s="1"/>
  <c r="A32" i="1" s="1"/>
  <c r="A33" i="1" s="1"/>
  <c r="A34" i="1" s="1"/>
  <c r="A16" i="1"/>
  <c r="A17" i="1" s="1"/>
  <c r="A18" i="1" s="1"/>
  <c r="A19" i="1" s="1"/>
  <c r="A20" i="1" s="1"/>
  <c r="A21" i="1" s="1"/>
  <c r="A22" i="1" s="1"/>
  <c r="A23" i="1" s="1"/>
  <c r="A24" i="1" s="1"/>
  <c r="A4" i="1"/>
  <c r="A5" i="1" s="1"/>
  <c r="A6" i="1" s="1"/>
  <c r="A7" i="1" s="1"/>
  <c r="A8" i="1" s="1"/>
  <c r="A9" i="1" s="1"/>
  <c r="A10" i="1" s="1"/>
  <c r="A11" i="1" s="1"/>
  <c r="A12" i="1" s="1"/>
  <c r="A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7D8E9D-5108-4640-A6E8-B4D5C221649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ED6FF6C-9296-4F96-A48E-D4B441DF7A89}" name="WorksheetConnection_DataAnalysis1.xlsx!Table_Table3" type="102" refreshedVersion="8" minRefreshableVersion="5">
    <extLst>
      <ext xmlns:x15="http://schemas.microsoft.com/office/spreadsheetml/2010/11/main" uri="{DE250136-89BD-433C-8126-D09CA5730AF9}">
        <x15:connection id="Table_Table3">
          <x15:rangePr sourceName="_xlcn.WorksheetConnection_DataAnalysis1.xlsxTable_Table3"/>
        </x15:connection>
      </ext>
    </extLst>
  </connection>
  <connection id="3" xr16:uid="{5E71A49E-CFF3-4B9F-9A24-82B66E677BEB}" name="WorksheetConnection_DataAnalysis1.xlsx!Table_Table3__27" type="102" refreshedVersion="8" minRefreshableVersion="5">
    <extLst>
      <ext xmlns:x15="http://schemas.microsoft.com/office/spreadsheetml/2010/11/main" uri="{DE250136-89BD-433C-8126-D09CA5730AF9}">
        <x15:connection id="Table_Table3__27">
          <x15:rangePr sourceName="_xlcn.WorksheetConnection_DataAnalysis1.xlsxTable_Table3__27"/>
        </x15:connection>
      </ext>
    </extLst>
  </connection>
</connections>
</file>

<file path=xl/sharedStrings.xml><?xml version="1.0" encoding="utf-8"?>
<sst xmlns="http://schemas.openxmlformats.org/spreadsheetml/2006/main" count="61" uniqueCount="28">
  <si>
    <t>Row Labels</t>
  </si>
  <si>
    <t>Grand Total</t>
  </si>
  <si>
    <t>Sum of Column2</t>
  </si>
  <si>
    <t>Sum of Column5</t>
  </si>
  <si>
    <t>Sum of Column8</t>
  </si>
  <si>
    <t>Sum of Column3</t>
  </si>
  <si>
    <t>Sum of Column7</t>
  </si>
  <si>
    <t>Sum of Column9</t>
  </si>
  <si>
    <t>Sum of Column6</t>
  </si>
  <si>
    <t>Sum of Column4</t>
  </si>
  <si>
    <t>Sum of Botswana
%</t>
  </si>
  <si>
    <t>Sum of Column10</t>
  </si>
  <si>
    <t>Sum of Column13</t>
  </si>
  <si>
    <t>Year</t>
  </si>
  <si>
    <t>Total 
Crop Productio
(*1000 hactres)</t>
  </si>
  <si>
    <t>Area
Harvested
(*1000 hactres)</t>
  </si>
  <si>
    <t>Area 
Planted
(*1000
hactres)</t>
  </si>
  <si>
    <t>Sorghum</t>
  </si>
  <si>
    <t>Maize</t>
  </si>
  <si>
    <t>Millet</t>
  </si>
  <si>
    <t>Beans</t>
  </si>
  <si>
    <t>Crop/Plant</t>
  </si>
  <si>
    <t>% of area planted
harvested</t>
  </si>
  <si>
    <t>Yield/hactre</t>
  </si>
  <si>
    <t>Sum of Area
Harvested
(*1000 hactres)4</t>
  </si>
  <si>
    <t>Sum of Area 
Planted
(*1000
hactres)4</t>
  </si>
  <si>
    <t>Beans/Pastels</t>
  </si>
  <si>
    <t xml:space="preserve">
Agriculture, forestry and fishing % of
Botswana 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</si>
</sst>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8"/>
      <name val="Calibri"/>
      <family val="2"/>
      <scheme val="minor"/>
    </font>
    <font>
      <b/>
      <sz val="11"/>
      <color theme="1"/>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2" tint="-0.749992370372631"/>
        <bgColor indexed="64"/>
      </patternFill>
    </fill>
    <fill>
      <patternFill patternType="solid">
        <fgColor theme="0" tint="-0.14996795556505021"/>
        <bgColor indexed="64"/>
      </patternFill>
    </fill>
  </fills>
  <borders count="17">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auto="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right/>
      <top/>
      <bottom style="thin">
        <color theme="4" tint="0.3999755851924192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25">
    <xf numFmtId="0" fontId="0" fillId="0" borderId="0" xfId="0"/>
    <xf numFmtId="0" fontId="0" fillId="2" borderId="1" xfId="0" applyFill="1" applyBorder="1"/>
    <xf numFmtId="0" fontId="0" fillId="2" borderId="3" xfId="0" applyFill="1" applyBorder="1"/>
    <xf numFmtId="0" fontId="0" fillId="2" borderId="2"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0" borderId="0" xfId="0" pivotButton="1"/>
    <xf numFmtId="0" fontId="0" fillId="0" borderId="0" xfId="0" applyAlignment="1">
      <alignment horizontal="left"/>
    </xf>
    <xf numFmtId="0" fontId="0" fillId="3" borderId="0" xfId="0" applyFill="1"/>
    <xf numFmtId="0" fontId="2" fillId="2" borderId="1" xfId="0" applyFont="1" applyFill="1" applyBorder="1"/>
    <xf numFmtId="0" fontId="2" fillId="2" borderId="3" xfId="0" applyFont="1" applyFill="1" applyBorder="1" applyAlignment="1">
      <alignment horizontal="center" wrapText="1"/>
    </xf>
    <xf numFmtId="0" fontId="2" fillId="2" borderId="2" xfId="0" applyFont="1" applyFill="1" applyBorder="1" applyAlignment="1">
      <alignment horizontal="center" wrapText="1"/>
    </xf>
    <xf numFmtId="0" fontId="0" fillId="0" borderId="10" xfId="0" applyBorder="1"/>
    <xf numFmtId="0" fontId="0" fillId="0" borderId="11" xfId="0" applyBorder="1"/>
    <xf numFmtId="0" fontId="0" fillId="4" borderId="9" xfId="0" applyFill="1" applyBorder="1" applyAlignment="1">
      <alignment wrapText="1"/>
    </xf>
    <xf numFmtId="0" fontId="0" fillId="4" borderId="9" xfId="0" applyFill="1" applyBorder="1"/>
    <xf numFmtId="0" fontId="0" fillId="0" borderId="14" xfId="0" applyBorder="1" applyAlignment="1">
      <alignment wrapText="1"/>
    </xf>
    <xf numFmtId="0" fontId="0" fillId="0" borderId="14" xfId="0" applyBorder="1"/>
    <xf numFmtId="0" fontId="0" fillId="0" borderId="13" xfId="0" applyBorder="1"/>
    <xf numFmtId="0" fontId="0" fillId="0" borderId="15" xfId="0" applyBorder="1"/>
    <xf numFmtId="0" fontId="0" fillId="0" borderId="16" xfId="0" applyBorder="1"/>
    <xf numFmtId="0" fontId="0" fillId="0" borderId="12" xfId="0" applyBorder="1" applyAlignment="1">
      <alignment horizontal="center"/>
    </xf>
  </cellXfs>
  <cellStyles count="1">
    <cellStyle name="Normal" xfId="0" builtinId="0"/>
  </cellStyles>
  <dxfs count="2">
    <dxf>
      <font>
        <sz val="20"/>
        <color theme="2"/>
      </font>
      <fill>
        <patternFill>
          <bgColor theme="1" tint="0.14996795556505021"/>
        </patternFill>
      </fill>
    </dxf>
    <dxf>
      <font>
        <b/>
        <i val="0"/>
        <sz val="16"/>
        <color theme="0" tint="-4.9989318521683403E-2"/>
      </font>
      <fill>
        <patternFill>
          <bgColor theme="1" tint="4.9989318521683403E-2"/>
        </patternFill>
      </fill>
      <border>
        <left style="thin">
          <color theme="6" tint="0.79998168889431442"/>
        </left>
        <right style="thin">
          <color theme="6" tint="0.79998168889431442"/>
        </right>
        <top style="thin">
          <color theme="6" tint="0.79998168889431442"/>
        </top>
        <bottom style="thin">
          <color theme="6" tint="0.79998168889431442"/>
        </bottom>
      </border>
    </dxf>
  </dxfs>
  <tableStyles count="1" defaultTableStyle="TableStyleMedium2" defaultPivotStyle="PivotStyleLight16">
    <tableStyle name="Slicer Style 1" pivot="0" table="0" count="5" xr9:uid="{7B416122-158B-40FF-B330-FD9E515A6C2F}">
      <tableStyleElement type="wholeTable" dxfId="1"/>
      <tableStyleElement type="headerRow" dxfId="0"/>
    </tableStyle>
  </tableStyles>
  <colors>
    <mruColors>
      <color rgb="FF00FF00"/>
      <color rgb="FFEB5D1D"/>
      <color rgb="FFFF00FF"/>
    </mruColors>
  </colors>
  <extLst>
    <ext xmlns:x14="http://schemas.microsoft.com/office/spreadsheetml/2009/9/main" uri="{46F421CA-312F-682f-3DD2-61675219B42D}">
      <x14:dxfs count="3">
        <dxf>
          <fill>
            <patternFill>
              <fgColor theme="6" tint="-0.24994659260841701"/>
            </patternFill>
          </fill>
          <border diagonalDown="1">
            <diagonal style="thin">
              <color auto="1"/>
            </diagonal>
          </border>
        </dxf>
        <dxf>
          <fill>
            <patternFill>
              <bgColor theme="0" tint="-0.24994659260841701"/>
            </patternFill>
          </fill>
        </dxf>
        <dxf>
          <fill>
            <patternFill>
              <bgColor theme="7"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[DataAnalysis.xlsm]Sheet5!PivotTable24</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Sorghum</a:t>
            </a:r>
          </a:p>
        </c:rich>
      </c:tx>
      <c:layout>
        <c:manualLayout>
          <c:xMode val="edge"/>
          <c:yMode val="edge"/>
          <c:x val="0.4380587193140732"/>
          <c:y val="6.309004091413991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Sheet5!$B$1</c:f>
              <c:strCache>
                <c:ptCount val="1"/>
                <c:pt idx="0">
                  <c:v>Sum of Column2</c:v>
                </c:pt>
              </c:strCache>
            </c:strRef>
          </c:tx>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Sheet5!$A$2:$A$36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Sheet5!$B$2:$B$36</c:f>
              <c:numCache>
                <c:formatCode>General</c:formatCode>
                <c:ptCount val="34"/>
                <c:pt idx="0">
                  <c:v>147</c:v>
                </c:pt>
                <c:pt idx="1">
                  <c:v>141</c:v>
                </c:pt>
                <c:pt idx="2">
                  <c:v>93</c:v>
                </c:pt>
                <c:pt idx="3">
                  <c:v>126</c:v>
                </c:pt>
                <c:pt idx="4">
                  <c:v>114</c:v>
                </c:pt>
                <c:pt idx="5">
                  <c:v>125</c:v>
                </c:pt>
                <c:pt idx="6">
                  <c:v>152.9</c:v>
                </c:pt>
                <c:pt idx="7">
                  <c:v>194.7</c:v>
                </c:pt>
                <c:pt idx="8">
                  <c:v>245.7</c:v>
                </c:pt>
                <c:pt idx="9">
                  <c:v>237.1</c:v>
                </c:pt>
                <c:pt idx="10">
                  <c:v>206</c:v>
                </c:pt>
                <c:pt idx="11">
                  <c:v>144</c:v>
                </c:pt>
                <c:pt idx="12">
                  <c:v>166</c:v>
                </c:pt>
                <c:pt idx="13">
                  <c:v>191</c:v>
                </c:pt>
                <c:pt idx="14">
                  <c:v>154</c:v>
                </c:pt>
                <c:pt idx="15">
                  <c:v>65</c:v>
                </c:pt>
                <c:pt idx="16">
                  <c:v>114</c:v>
                </c:pt>
                <c:pt idx="17">
                  <c:v>106</c:v>
                </c:pt>
                <c:pt idx="18">
                  <c:v>23</c:v>
                </c:pt>
                <c:pt idx="19">
                  <c:v>66</c:v>
                </c:pt>
                <c:pt idx="20">
                  <c:v>25</c:v>
                </c:pt>
                <c:pt idx="21">
                  <c:v>48.454000000000001</c:v>
                </c:pt>
                <c:pt idx="22">
                  <c:v>58</c:v>
                </c:pt>
                <c:pt idx="23">
                  <c:v>33.290999999999997</c:v>
                </c:pt>
                <c:pt idx="24">
                  <c:v>73.159000000000006</c:v>
                </c:pt>
                <c:pt idx="25">
                  <c:v>76.382999999999996</c:v>
                </c:pt>
                <c:pt idx="26">
                  <c:v>75.328999999999994</c:v>
                </c:pt>
                <c:pt idx="27">
                  <c:v>70</c:v>
                </c:pt>
                <c:pt idx="28">
                  <c:v>52</c:v>
                </c:pt>
                <c:pt idx="29">
                  <c:v>62</c:v>
                </c:pt>
                <c:pt idx="30">
                  <c:v>65</c:v>
                </c:pt>
                <c:pt idx="31">
                  <c:v>23</c:v>
                </c:pt>
                <c:pt idx="32">
                  <c:v>24</c:v>
                </c:pt>
                <c:pt idx="33">
                  <c:v>17</c:v>
                </c:pt>
              </c:numCache>
            </c:numRef>
          </c:val>
          <c:smooth val="0"/>
          <c:extLst>
            <c:ext xmlns:c16="http://schemas.microsoft.com/office/drawing/2014/chart" uri="{C3380CC4-5D6E-409C-BE32-E72D297353CC}">
              <c16:uniqueId val="{00000000-6F50-4F72-ACFB-7E9A18E0E1CD}"/>
            </c:ext>
          </c:extLst>
        </c:ser>
        <c:ser>
          <c:idx val="1"/>
          <c:order val="1"/>
          <c:tx>
            <c:strRef>
              <c:f>Sheet5!$C$1</c:f>
              <c:strCache>
                <c:ptCount val="1"/>
                <c:pt idx="0">
                  <c:v>Sum of Column3</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Sheet5!$A$2:$A$36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Sheet5!$C$2:$C$36</c:f>
              <c:numCache>
                <c:formatCode>General</c:formatCode>
                <c:ptCount val="34"/>
                <c:pt idx="0">
                  <c:v>131</c:v>
                </c:pt>
                <c:pt idx="1">
                  <c:v>123</c:v>
                </c:pt>
                <c:pt idx="2">
                  <c:v>37</c:v>
                </c:pt>
                <c:pt idx="3">
                  <c:v>35</c:v>
                </c:pt>
                <c:pt idx="4">
                  <c:v>49</c:v>
                </c:pt>
                <c:pt idx="5">
                  <c:v>83</c:v>
                </c:pt>
                <c:pt idx="6">
                  <c:v>90.4</c:v>
                </c:pt>
                <c:pt idx="7">
                  <c:v>102.6</c:v>
                </c:pt>
                <c:pt idx="8">
                  <c:v>219.4</c:v>
                </c:pt>
                <c:pt idx="9">
                  <c:v>183.8</c:v>
                </c:pt>
                <c:pt idx="10">
                  <c:v>153</c:v>
                </c:pt>
                <c:pt idx="11">
                  <c:v>66</c:v>
                </c:pt>
                <c:pt idx="12">
                  <c:v>106</c:v>
                </c:pt>
                <c:pt idx="13">
                  <c:v>164</c:v>
                </c:pt>
                <c:pt idx="14">
                  <c:v>64</c:v>
                </c:pt>
                <c:pt idx="15">
                  <c:v>27</c:v>
                </c:pt>
                <c:pt idx="16">
                  <c:v>45</c:v>
                </c:pt>
                <c:pt idx="17">
                  <c:v>53</c:v>
                </c:pt>
                <c:pt idx="18">
                  <c:v>13</c:v>
                </c:pt>
                <c:pt idx="19">
                  <c:v>31</c:v>
                </c:pt>
                <c:pt idx="20">
                  <c:v>5</c:v>
                </c:pt>
                <c:pt idx="21">
                  <c:v>38.523000000000003</c:v>
                </c:pt>
                <c:pt idx="22">
                  <c:v>46</c:v>
                </c:pt>
                <c:pt idx="23">
                  <c:v>7.0919999999999996</c:v>
                </c:pt>
                <c:pt idx="24">
                  <c:v>42.914000000000001</c:v>
                </c:pt>
                <c:pt idx="25">
                  <c:v>58.661000000000001</c:v>
                </c:pt>
                <c:pt idx="26">
                  <c:v>57.475000000000001</c:v>
                </c:pt>
                <c:pt idx="27">
                  <c:v>49</c:v>
                </c:pt>
                <c:pt idx="28">
                  <c:v>24</c:v>
                </c:pt>
                <c:pt idx="29">
                  <c:v>34</c:v>
                </c:pt>
                <c:pt idx="30">
                  <c:v>50</c:v>
                </c:pt>
                <c:pt idx="31">
                  <c:v>8</c:v>
                </c:pt>
                <c:pt idx="32">
                  <c:v>17</c:v>
                </c:pt>
                <c:pt idx="33">
                  <c:v>5</c:v>
                </c:pt>
              </c:numCache>
            </c:numRef>
          </c:val>
          <c:smooth val="0"/>
          <c:extLst>
            <c:ext xmlns:c16="http://schemas.microsoft.com/office/drawing/2014/chart" uri="{C3380CC4-5D6E-409C-BE32-E72D297353CC}">
              <c16:uniqueId val="{00000000-51A9-4DEB-9303-C193178796D3}"/>
            </c:ext>
          </c:extLst>
        </c:ser>
        <c:dLbls>
          <c:showLegendKey val="0"/>
          <c:showVal val="0"/>
          <c:showCatName val="0"/>
          <c:showSerName val="0"/>
          <c:showPercent val="0"/>
          <c:showBubbleSize val="0"/>
        </c:dLbls>
        <c:marker val="1"/>
        <c:smooth val="0"/>
        <c:axId val="639389759"/>
        <c:axId val="639392639"/>
      </c:lineChart>
      <c:catAx>
        <c:axId val="63938975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92639"/>
        <c:crosses val="autoZero"/>
        <c:auto val="1"/>
        <c:lblAlgn val="ctr"/>
        <c:lblOffset val="100"/>
        <c:noMultiLvlLbl val="0"/>
      </c:catAx>
      <c:valAx>
        <c:axId val="639392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897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[DataAnalysis.xlsm]Sheet9!PivotTable31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Millet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Sheet9!$B$1</c:f>
              <c:strCache>
                <c:ptCount val="1"/>
                <c:pt idx="0">
                  <c:v>Sum of Column8</c:v>
                </c:pt>
              </c:strCache>
            </c:strRef>
          </c:tx>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Sheet9!$A$2:$A$36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Sheet9!$B$2:$B$36</c:f>
              <c:numCache>
                <c:formatCode>General</c:formatCode>
                <c:ptCount val="34"/>
                <c:pt idx="0">
                  <c:v>17</c:v>
                </c:pt>
                <c:pt idx="1">
                  <c:v>20</c:v>
                </c:pt>
                <c:pt idx="2">
                  <c:v>16</c:v>
                </c:pt>
                <c:pt idx="3">
                  <c:v>17</c:v>
                </c:pt>
                <c:pt idx="4">
                  <c:v>17</c:v>
                </c:pt>
                <c:pt idx="5">
                  <c:v>16</c:v>
                </c:pt>
                <c:pt idx="6">
                  <c:v>17.399999999999999</c:v>
                </c:pt>
                <c:pt idx="7">
                  <c:v>14</c:v>
                </c:pt>
                <c:pt idx="8">
                  <c:v>13</c:v>
                </c:pt>
                <c:pt idx="9">
                  <c:v>20.3</c:v>
                </c:pt>
                <c:pt idx="10">
                  <c:v>12</c:v>
                </c:pt>
                <c:pt idx="11">
                  <c:v>15</c:v>
                </c:pt>
                <c:pt idx="12">
                  <c:v>14</c:v>
                </c:pt>
                <c:pt idx="13">
                  <c:v>11</c:v>
                </c:pt>
                <c:pt idx="14">
                  <c:v>11</c:v>
                </c:pt>
                <c:pt idx="15">
                  <c:v>9</c:v>
                </c:pt>
                <c:pt idx="16">
                  <c:v>8</c:v>
                </c:pt>
                <c:pt idx="17">
                  <c:v>5</c:v>
                </c:pt>
                <c:pt idx="18">
                  <c:v>3</c:v>
                </c:pt>
                <c:pt idx="19">
                  <c:v>3</c:v>
                </c:pt>
                <c:pt idx="20">
                  <c:v>3</c:v>
                </c:pt>
                <c:pt idx="21">
                  <c:v>7.077</c:v>
                </c:pt>
                <c:pt idx="22">
                  <c:v>7</c:v>
                </c:pt>
                <c:pt idx="23">
                  <c:v>6.01</c:v>
                </c:pt>
                <c:pt idx="24">
                  <c:v>11.348000000000001</c:v>
                </c:pt>
                <c:pt idx="25">
                  <c:v>9.8010000000000002</c:v>
                </c:pt>
                <c:pt idx="26">
                  <c:v>10.842000000000001</c:v>
                </c:pt>
                <c:pt idx="27">
                  <c:v>13</c:v>
                </c:pt>
                <c:pt idx="28">
                  <c:v>10</c:v>
                </c:pt>
                <c:pt idx="29">
                  <c:v>12</c:v>
                </c:pt>
                <c:pt idx="30">
                  <c:v>8</c:v>
                </c:pt>
                <c:pt idx="31">
                  <c:v>5</c:v>
                </c:pt>
                <c:pt idx="32">
                  <c:v>3</c:v>
                </c:pt>
                <c:pt idx="33">
                  <c:v>3</c:v>
                </c:pt>
              </c:numCache>
            </c:numRef>
          </c:val>
          <c:smooth val="0"/>
          <c:extLst>
            <c:ext xmlns:c16="http://schemas.microsoft.com/office/drawing/2014/chart" uri="{C3380CC4-5D6E-409C-BE32-E72D297353CC}">
              <c16:uniqueId val="{00000000-2A3A-43CC-8234-084F0C7E3B17}"/>
            </c:ext>
          </c:extLst>
        </c:ser>
        <c:ser>
          <c:idx val="1"/>
          <c:order val="1"/>
          <c:tx>
            <c:strRef>
              <c:f>Sheet9!$C$1</c:f>
              <c:strCache>
                <c:ptCount val="1"/>
                <c:pt idx="0">
                  <c:v>Sum of Column9</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Sheet9!$A$2:$A$36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Sheet9!$C$2:$C$36</c:f>
              <c:numCache>
                <c:formatCode>General</c:formatCode>
                <c:ptCount val="34"/>
                <c:pt idx="0">
                  <c:v>14</c:v>
                </c:pt>
                <c:pt idx="1">
                  <c:v>13</c:v>
                </c:pt>
                <c:pt idx="2">
                  <c:v>4</c:v>
                </c:pt>
                <c:pt idx="3">
                  <c:v>6</c:v>
                </c:pt>
                <c:pt idx="4">
                  <c:v>8</c:v>
                </c:pt>
                <c:pt idx="5">
                  <c:v>10</c:v>
                </c:pt>
                <c:pt idx="6">
                  <c:v>10.1</c:v>
                </c:pt>
                <c:pt idx="7">
                  <c:v>5.4</c:v>
                </c:pt>
                <c:pt idx="8">
                  <c:v>9</c:v>
                </c:pt>
                <c:pt idx="9">
                  <c:v>11.4</c:v>
                </c:pt>
                <c:pt idx="10">
                  <c:v>9</c:v>
                </c:pt>
                <c:pt idx="11">
                  <c:v>11</c:v>
                </c:pt>
                <c:pt idx="12">
                  <c:v>7</c:v>
                </c:pt>
                <c:pt idx="13">
                  <c:v>9</c:v>
                </c:pt>
                <c:pt idx="14">
                  <c:v>8</c:v>
                </c:pt>
                <c:pt idx="15">
                  <c:v>5</c:v>
                </c:pt>
                <c:pt idx="16">
                  <c:v>5</c:v>
                </c:pt>
                <c:pt idx="17">
                  <c:v>3</c:v>
                </c:pt>
                <c:pt idx="18">
                  <c:v>2</c:v>
                </c:pt>
                <c:pt idx="19">
                  <c:v>0</c:v>
                </c:pt>
                <c:pt idx="20">
                  <c:v>1</c:v>
                </c:pt>
                <c:pt idx="21">
                  <c:v>6.391</c:v>
                </c:pt>
                <c:pt idx="22">
                  <c:v>6</c:v>
                </c:pt>
                <c:pt idx="23">
                  <c:v>2.33</c:v>
                </c:pt>
                <c:pt idx="24">
                  <c:v>7.65</c:v>
                </c:pt>
                <c:pt idx="25">
                  <c:v>8.1359999999999992</c:v>
                </c:pt>
                <c:pt idx="26">
                  <c:v>9.4760000000000009</c:v>
                </c:pt>
                <c:pt idx="27">
                  <c:v>11</c:v>
                </c:pt>
                <c:pt idx="28">
                  <c:v>7</c:v>
                </c:pt>
                <c:pt idx="29">
                  <c:v>8</c:v>
                </c:pt>
                <c:pt idx="30">
                  <c:v>7</c:v>
                </c:pt>
                <c:pt idx="31">
                  <c:v>3</c:v>
                </c:pt>
                <c:pt idx="32">
                  <c:v>3</c:v>
                </c:pt>
                <c:pt idx="33">
                  <c:v>2</c:v>
                </c:pt>
              </c:numCache>
            </c:numRef>
          </c:val>
          <c:smooth val="0"/>
          <c:extLst>
            <c:ext xmlns:c16="http://schemas.microsoft.com/office/drawing/2014/chart" uri="{C3380CC4-5D6E-409C-BE32-E72D297353CC}">
              <c16:uniqueId val="{00000000-0D95-46B2-A57D-2C8DA5C83DDB}"/>
            </c:ext>
          </c:extLst>
        </c:ser>
        <c:dLbls>
          <c:showLegendKey val="0"/>
          <c:showVal val="0"/>
          <c:showCatName val="0"/>
          <c:showSerName val="0"/>
          <c:showPercent val="0"/>
          <c:showBubbleSize val="0"/>
        </c:dLbls>
        <c:marker val="1"/>
        <c:smooth val="0"/>
        <c:axId val="639391679"/>
        <c:axId val="639389279"/>
      </c:lineChart>
      <c:catAx>
        <c:axId val="63939167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89279"/>
        <c:crosses val="autoZero"/>
        <c:auto val="1"/>
        <c:lblAlgn val="ctr"/>
        <c:lblOffset val="100"/>
        <c:noMultiLvlLbl val="0"/>
      </c:catAx>
      <c:valAx>
        <c:axId val="639389279"/>
        <c:scaling>
          <c:orientation val="minMax"/>
          <c:max val="3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9391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[DataAnalysis.xlsm]Sheet5!PivotTable26</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Sorghum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FF00"/>
          </a:solidFill>
          <a:ln>
            <a:solidFill>
              <a:srgbClr val="00FF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Sheet5!$H$1</c:f>
              <c:strCache>
                <c:ptCount val="1"/>
                <c:pt idx="0">
                  <c:v>Total</c:v>
                </c:pt>
              </c:strCache>
            </c:strRef>
          </c:tx>
          <c:spPr>
            <a:solidFill>
              <a:srgbClr val="00FF00"/>
            </a:solidFill>
            <a:ln>
              <a:solidFill>
                <a:srgbClr val="00FF00"/>
              </a:solidFill>
            </a:ln>
            <a:effectLst>
              <a:outerShdw blurRad="57150" dist="19050" dir="5400000" algn="ctr" rotWithShape="0">
                <a:srgbClr val="000000">
                  <a:alpha val="63000"/>
                </a:srgbClr>
              </a:outerShdw>
            </a:effectLst>
          </c:spPr>
          <c:invertIfNegative val="0"/>
          <c:cat>
            <c:strRef>
              <c:f>Sheet5!$G$2:$G$36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Sheet5!$H$2:$H$36</c:f>
              <c:numCache>
                <c:formatCode>General</c:formatCode>
                <c:ptCount val="34"/>
                <c:pt idx="0">
                  <c:v>29</c:v>
                </c:pt>
                <c:pt idx="1">
                  <c:v>28</c:v>
                </c:pt>
                <c:pt idx="2">
                  <c:v>4</c:v>
                </c:pt>
                <c:pt idx="3">
                  <c:v>5</c:v>
                </c:pt>
                <c:pt idx="4">
                  <c:v>6</c:v>
                </c:pt>
                <c:pt idx="5">
                  <c:v>15</c:v>
                </c:pt>
                <c:pt idx="6">
                  <c:v>11.33</c:v>
                </c:pt>
                <c:pt idx="7">
                  <c:v>11.135</c:v>
                </c:pt>
                <c:pt idx="8">
                  <c:v>69.34</c:v>
                </c:pt>
                <c:pt idx="9">
                  <c:v>34.93</c:v>
                </c:pt>
                <c:pt idx="10">
                  <c:v>38.200000000000003</c:v>
                </c:pt>
                <c:pt idx="11">
                  <c:v>10.797000000000001</c:v>
                </c:pt>
                <c:pt idx="12">
                  <c:v>113.547</c:v>
                </c:pt>
                <c:pt idx="13">
                  <c:v>59.2</c:v>
                </c:pt>
                <c:pt idx="14">
                  <c:v>13.45</c:v>
                </c:pt>
                <c:pt idx="15">
                  <c:v>3.56</c:v>
                </c:pt>
                <c:pt idx="16">
                  <c:v>5.3540000000000001</c:v>
                </c:pt>
                <c:pt idx="17">
                  <c:v>12.670999999999999</c:v>
                </c:pt>
                <c:pt idx="18">
                  <c:v>1.583</c:v>
                </c:pt>
                <c:pt idx="19">
                  <c:v>15.805</c:v>
                </c:pt>
                <c:pt idx="20">
                  <c:v>23.501000000000001</c:v>
                </c:pt>
                <c:pt idx="21">
                  <c:v>10.516</c:v>
                </c:pt>
                <c:pt idx="22">
                  <c:v>12.369</c:v>
                </c:pt>
                <c:pt idx="23">
                  <c:v>11.773999999999999</c:v>
                </c:pt>
                <c:pt idx="24">
                  <c:v>23.632999999999999</c:v>
                </c:pt>
                <c:pt idx="25">
                  <c:v>29.577000000000002</c:v>
                </c:pt>
                <c:pt idx="26">
                  <c:v>32.767000000000003</c:v>
                </c:pt>
                <c:pt idx="27">
                  <c:v>32.591000000000001</c:v>
                </c:pt>
                <c:pt idx="28">
                  <c:v>24.021000000000001</c:v>
                </c:pt>
                <c:pt idx="29">
                  <c:v>10.231</c:v>
                </c:pt>
                <c:pt idx="30">
                  <c:v>14.31</c:v>
                </c:pt>
                <c:pt idx="31">
                  <c:v>35.508000000000003</c:v>
                </c:pt>
                <c:pt idx="32">
                  <c:v>5.9749999999999996</c:v>
                </c:pt>
                <c:pt idx="33">
                  <c:v>0.82599999999999996</c:v>
                </c:pt>
              </c:numCache>
            </c:numRef>
          </c:val>
          <c:extLst>
            <c:ext xmlns:c16="http://schemas.microsoft.com/office/drawing/2014/chart" uri="{C3380CC4-5D6E-409C-BE32-E72D297353CC}">
              <c16:uniqueId val="{00000000-B31F-452D-8F58-312A73EE8C38}"/>
            </c:ext>
          </c:extLst>
        </c:ser>
        <c:dLbls>
          <c:showLegendKey val="0"/>
          <c:showVal val="0"/>
          <c:showCatName val="0"/>
          <c:showSerName val="0"/>
          <c:showPercent val="0"/>
          <c:showBubbleSize val="0"/>
        </c:dLbls>
        <c:gapWidth val="100"/>
        <c:overlap val="-24"/>
        <c:axId val="977019791"/>
        <c:axId val="977027951"/>
      </c:barChart>
      <c:catAx>
        <c:axId val="97701979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7027951"/>
        <c:crosses val="autoZero"/>
        <c:auto val="1"/>
        <c:lblAlgn val="ctr"/>
        <c:lblOffset val="100"/>
        <c:noMultiLvlLbl val="0"/>
      </c:catAx>
      <c:valAx>
        <c:axId val="977027951"/>
        <c:scaling>
          <c:orientation val="minMax"/>
          <c:max val="13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7019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[DataAnalysis.xlsm]Sheet8!PivotTable30</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Maize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00FF00">
                  <a:shade val="30000"/>
                  <a:satMod val="115000"/>
                </a:srgbClr>
              </a:gs>
              <a:gs pos="50000">
                <a:srgbClr val="00FF00">
                  <a:shade val="67500"/>
                  <a:satMod val="115000"/>
                </a:srgbClr>
              </a:gs>
              <a:gs pos="100000">
                <a:srgbClr val="00FF00">
                  <a:shade val="100000"/>
                  <a:satMod val="115000"/>
                </a:srgbClr>
              </a:gs>
            </a:gsLst>
            <a:lin ang="1080000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Sheet8!$H$1</c:f>
              <c:strCache>
                <c:ptCount val="1"/>
                <c:pt idx="0">
                  <c:v>Total</c:v>
                </c:pt>
              </c:strCache>
            </c:strRef>
          </c:tx>
          <c:spPr>
            <a:gradFill flip="none" rotWithShape="1">
              <a:gsLst>
                <a:gs pos="0">
                  <a:srgbClr val="00FF00">
                    <a:shade val="30000"/>
                    <a:satMod val="115000"/>
                  </a:srgbClr>
                </a:gs>
                <a:gs pos="50000">
                  <a:srgbClr val="00FF00">
                    <a:shade val="67500"/>
                    <a:satMod val="115000"/>
                  </a:srgbClr>
                </a:gs>
                <a:gs pos="100000">
                  <a:srgbClr val="00FF00">
                    <a:shade val="100000"/>
                    <a:satMod val="115000"/>
                  </a:srgbClr>
                </a:gs>
              </a:gsLst>
              <a:lin ang="10800000" scaled="1"/>
              <a:tileRect/>
            </a:gradFill>
            <a:ln>
              <a:noFill/>
            </a:ln>
            <a:effectLst>
              <a:outerShdw blurRad="57150" dist="19050" dir="5400000" algn="ctr" rotWithShape="0">
                <a:srgbClr val="000000">
                  <a:alpha val="63000"/>
                </a:srgbClr>
              </a:outerShdw>
            </a:effectLst>
          </c:spPr>
          <c:invertIfNegative val="0"/>
          <c:cat>
            <c:strRef>
              <c:f>Sheet8!$G$2:$G$36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Sheet8!$H$2:$H$36</c:f>
              <c:numCache>
                <c:formatCode>General</c:formatCode>
                <c:ptCount val="34"/>
                <c:pt idx="0">
                  <c:v>12</c:v>
                </c:pt>
                <c:pt idx="1">
                  <c:v>22</c:v>
                </c:pt>
                <c:pt idx="2">
                  <c:v>13</c:v>
                </c:pt>
                <c:pt idx="3">
                  <c:v>9</c:v>
                </c:pt>
                <c:pt idx="4">
                  <c:v>0.5</c:v>
                </c:pt>
                <c:pt idx="5">
                  <c:v>1.5</c:v>
                </c:pt>
                <c:pt idx="6">
                  <c:v>1.91</c:v>
                </c:pt>
                <c:pt idx="7">
                  <c:v>0.215</c:v>
                </c:pt>
                <c:pt idx="8">
                  <c:v>4.84</c:v>
                </c:pt>
                <c:pt idx="9">
                  <c:v>9.7650000000000006</c:v>
                </c:pt>
                <c:pt idx="10">
                  <c:v>12</c:v>
                </c:pt>
                <c:pt idx="11">
                  <c:v>2.976</c:v>
                </c:pt>
                <c:pt idx="12">
                  <c:v>18.952999999999999</c:v>
                </c:pt>
                <c:pt idx="13">
                  <c:v>24.629000000000001</c:v>
                </c:pt>
                <c:pt idx="14">
                  <c:v>22.646999999999998</c:v>
                </c:pt>
                <c:pt idx="15">
                  <c:v>2.2330000000000001</c:v>
                </c:pt>
                <c:pt idx="16">
                  <c:v>3.7519999999999998</c:v>
                </c:pt>
                <c:pt idx="17">
                  <c:v>19.962</c:v>
                </c:pt>
                <c:pt idx="18">
                  <c:v>4.976</c:v>
                </c:pt>
                <c:pt idx="19">
                  <c:v>16.446999999999999</c:v>
                </c:pt>
                <c:pt idx="20">
                  <c:v>1.633</c:v>
                </c:pt>
                <c:pt idx="21">
                  <c:v>7.2169999999999996</c:v>
                </c:pt>
                <c:pt idx="22">
                  <c:v>14.896000000000001</c:v>
                </c:pt>
                <c:pt idx="23">
                  <c:v>2.149</c:v>
                </c:pt>
                <c:pt idx="24">
                  <c:v>8.9670000000000005</c:v>
                </c:pt>
                <c:pt idx="25">
                  <c:v>20.091999999999999</c:v>
                </c:pt>
                <c:pt idx="26">
                  <c:v>10.571999999999999</c:v>
                </c:pt>
                <c:pt idx="27">
                  <c:v>29.234999999999999</c:v>
                </c:pt>
                <c:pt idx="28">
                  <c:v>7.6769999999999996</c:v>
                </c:pt>
                <c:pt idx="29">
                  <c:v>3.8439999999999999</c:v>
                </c:pt>
                <c:pt idx="30">
                  <c:v>28.55</c:v>
                </c:pt>
                <c:pt idx="31">
                  <c:v>3.7919999999999998</c:v>
                </c:pt>
                <c:pt idx="32">
                  <c:v>13.911</c:v>
                </c:pt>
                <c:pt idx="33">
                  <c:v>0.98699999999999999</c:v>
                </c:pt>
              </c:numCache>
            </c:numRef>
          </c:val>
          <c:extLst>
            <c:ext xmlns:c16="http://schemas.microsoft.com/office/drawing/2014/chart" uri="{C3380CC4-5D6E-409C-BE32-E72D297353CC}">
              <c16:uniqueId val="{00000000-A36B-48CA-A616-C466BB2EE997}"/>
            </c:ext>
          </c:extLst>
        </c:ser>
        <c:dLbls>
          <c:showLegendKey val="0"/>
          <c:showVal val="0"/>
          <c:showCatName val="0"/>
          <c:showSerName val="0"/>
          <c:showPercent val="0"/>
          <c:showBubbleSize val="0"/>
        </c:dLbls>
        <c:gapWidth val="100"/>
        <c:overlap val="-24"/>
        <c:axId val="984180607"/>
        <c:axId val="984181087"/>
      </c:barChart>
      <c:catAx>
        <c:axId val="9841806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4181087"/>
        <c:crosses val="autoZero"/>
        <c:auto val="1"/>
        <c:lblAlgn val="ctr"/>
        <c:lblOffset val="100"/>
        <c:noMultiLvlLbl val="0"/>
      </c:catAx>
      <c:valAx>
        <c:axId val="984181087"/>
        <c:scaling>
          <c:orientation val="minMax"/>
          <c:max val="3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84180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[DataAnalysis.xlsm]Sheet9!PivotTable33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Millet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FF00"/>
          </a:solidFill>
          <a:ln>
            <a:solidFill>
              <a:srgbClr val="00FF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Sheet9!$H$1</c:f>
              <c:strCache>
                <c:ptCount val="1"/>
                <c:pt idx="0">
                  <c:v>Total</c:v>
                </c:pt>
              </c:strCache>
            </c:strRef>
          </c:tx>
          <c:spPr>
            <a:solidFill>
              <a:srgbClr val="00FF00"/>
            </a:solidFill>
            <a:ln>
              <a:solidFill>
                <a:srgbClr val="00FF00"/>
              </a:solidFill>
            </a:ln>
            <a:effectLst>
              <a:outerShdw blurRad="57150" dist="19050" dir="5400000" algn="ctr" rotWithShape="0">
                <a:srgbClr val="000000">
                  <a:alpha val="63000"/>
                </a:srgbClr>
              </a:outerShdw>
            </a:effectLst>
          </c:spPr>
          <c:invertIfNegative val="0"/>
          <c:cat>
            <c:strRef>
              <c:f>Sheet9!$G$2:$G$36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Sheet9!$H$2:$H$36</c:f>
              <c:numCache>
                <c:formatCode>General</c:formatCode>
                <c:ptCount val="34"/>
                <c:pt idx="0">
                  <c:v>3</c:v>
                </c:pt>
                <c:pt idx="1">
                  <c:v>2</c:v>
                </c:pt>
                <c:pt idx="2">
                  <c:v>0.5</c:v>
                </c:pt>
                <c:pt idx="3">
                  <c:v>0.5</c:v>
                </c:pt>
                <c:pt idx="4">
                  <c:v>0.7</c:v>
                </c:pt>
                <c:pt idx="5">
                  <c:v>1.8</c:v>
                </c:pt>
                <c:pt idx="6">
                  <c:v>1.29</c:v>
                </c:pt>
                <c:pt idx="7">
                  <c:v>0.36</c:v>
                </c:pt>
                <c:pt idx="8">
                  <c:v>2.8650000000000002</c:v>
                </c:pt>
                <c:pt idx="9">
                  <c:v>1.94</c:v>
                </c:pt>
                <c:pt idx="10">
                  <c:v>1.7</c:v>
                </c:pt>
                <c:pt idx="11">
                  <c:v>1.6240000000000001</c:v>
                </c:pt>
                <c:pt idx="12">
                  <c:v>19.39</c:v>
                </c:pt>
                <c:pt idx="13">
                  <c:v>2.508</c:v>
                </c:pt>
                <c:pt idx="14">
                  <c:v>1.357</c:v>
                </c:pt>
                <c:pt idx="15">
                  <c:v>0.50700000000000001</c:v>
                </c:pt>
                <c:pt idx="16">
                  <c:v>0.86</c:v>
                </c:pt>
                <c:pt idx="17">
                  <c:v>0.439</c:v>
                </c:pt>
                <c:pt idx="18">
                  <c:v>0.47199999999999998</c:v>
                </c:pt>
                <c:pt idx="19">
                  <c:v>5.3999999999999999E-2</c:v>
                </c:pt>
                <c:pt idx="20">
                  <c:v>9.0999999999999998E-2</c:v>
                </c:pt>
                <c:pt idx="21">
                  <c:v>2.681</c:v>
                </c:pt>
                <c:pt idx="22">
                  <c:v>3.2010000000000001</c:v>
                </c:pt>
                <c:pt idx="23">
                  <c:v>0.53200000000000003</c:v>
                </c:pt>
                <c:pt idx="24">
                  <c:v>1.637</c:v>
                </c:pt>
                <c:pt idx="25">
                  <c:v>2.7669999999999999</c:v>
                </c:pt>
                <c:pt idx="26">
                  <c:v>3.4060000000000001</c:v>
                </c:pt>
                <c:pt idx="27">
                  <c:v>2.5110000000000001</c:v>
                </c:pt>
                <c:pt idx="28">
                  <c:v>1.9590000000000001</c:v>
                </c:pt>
                <c:pt idx="29">
                  <c:v>1.391</c:v>
                </c:pt>
                <c:pt idx="30">
                  <c:v>3.3980000000000001</c:v>
                </c:pt>
                <c:pt idx="31">
                  <c:v>0.55500000000000005</c:v>
                </c:pt>
                <c:pt idx="32">
                  <c:v>1.099</c:v>
                </c:pt>
                <c:pt idx="33">
                  <c:v>0.313</c:v>
                </c:pt>
              </c:numCache>
            </c:numRef>
          </c:val>
          <c:extLst>
            <c:ext xmlns:c16="http://schemas.microsoft.com/office/drawing/2014/chart" uri="{C3380CC4-5D6E-409C-BE32-E72D297353CC}">
              <c16:uniqueId val="{00000000-A3CA-4C58-AFD6-1114149B82FA}"/>
            </c:ext>
          </c:extLst>
        </c:ser>
        <c:dLbls>
          <c:showLegendKey val="0"/>
          <c:showVal val="0"/>
          <c:showCatName val="0"/>
          <c:showSerName val="0"/>
          <c:showPercent val="0"/>
          <c:showBubbleSize val="0"/>
        </c:dLbls>
        <c:gapWidth val="100"/>
        <c:overlap val="-24"/>
        <c:axId val="972494671"/>
        <c:axId val="972495631"/>
      </c:barChart>
      <c:catAx>
        <c:axId val="9724946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2495631"/>
        <c:crosses val="autoZero"/>
        <c:auto val="1"/>
        <c:lblAlgn val="ctr"/>
        <c:lblOffset val="100"/>
        <c:noMultiLvlLbl val="0"/>
      </c:catAx>
      <c:valAx>
        <c:axId val="972495631"/>
        <c:scaling>
          <c:orientation val="minMax"/>
          <c:max val="2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249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[DataAnalysis.xlsm]Sheet10!PivotTable36</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Beans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FF00"/>
          </a:solidFill>
          <a:ln>
            <a:solidFill>
              <a:srgbClr val="00FF00"/>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Sheet10!$H$1</c:f>
              <c:strCache>
                <c:ptCount val="1"/>
                <c:pt idx="0">
                  <c:v>Total</c:v>
                </c:pt>
              </c:strCache>
            </c:strRef>
          </c:tx>
          <c:spPr>
            <a:solidFill>
              <a:srgbClr val="00FF00"/>
            </a:solidFill>
            <a:ln>
              <a:solidFill>
                <a:srgbClr val="00FF00"/>
              </a:solidFill>
            </a:ln>
            <a:effectLst>
              <a:outerShdw blurRad="57150" dist="19050" dir="5400000" algn="ctr" rotWithShape="0">
                <a:srgbClr val="000000">
                  <a:alpha val="63000"/>
                </a:srgbClr>
              </a:outerShdw>
            </a:effectLst>
          </c:spPr>
          <c:invertIfNegative val="0"/>
          <c:cat>
            <c:strRef>
              <c:f>Sheet10!$G$2:$G$36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Sheet10!$H$2:$H$36</c:f>
              <c:numCache>
                <c:formatCode>General</c:formatCode>
                <c:ptCount val="34"/>
                <c:pt idx="0">
                  <c:v>2</c:v>
                </c:pt>
                <c:pt idx="1">
                  <c:v>3</c:v>
                </c:pt>
                <c:pt idx="2">
                  <c:v>0.5</c:v>
                </c:pt>
                <c:pt idx="3">
                  <c:v>0.3</c:v>
                </c:pt>
                <c:pt idx="4">
                  <c:v>0.4</c:v>
                </c:pt>
                <c:pt idx="5">
                  <c:v>0.4</c:v>
                </c:pt>
                <c:pt idx="6">
                  <c:v>0.49</c:v>
                </c:pt>
                <c:pt idx="7">
                  <c:v>0.28499999999999998</c:v>
                </c:pt>
                <c:pt idx="8">
                  <c:v>1.7250000000000001</c:v>
                </c:pt>
                <c:pt idx="9">
                  <c:v>2.0750000000000002</c:v>
                </c:pt>
                <c:pt idx="10">
                  <c:v>2</c:v>
                </c:pt>
                <c:pt idx="11">
                  <c:v>0.53</c:v>
                </c:pt>
                <c:pt idx="12">
                  <c:v>10.180999999999999</c:v>
                </c:pt>
                <c:pt idx="13">
                  <c:v>3.9140000000000001</c:v>
                </c:pt>
                <c:pt idx="14">
                  <c:v>4.4669999999999996</c:v>
                </c:pt>
                <c:pt idx="15">
                  <c:v>1.19</c:v>
                </c:pt>
                <c:pt idx="16">
                  <c:v>1.3460000000000001</c:v>
                </c:pt>
                <c:pt idx="17">
                  <c:v>4.1020000000000003</c:v>
                </c:pt>
                <c:pt idx="18">
                  <c:v>1.28</c:v>
                </c:pt>
                <c:pt idx="19">
                  <c:v>1.907</c:v>
                </c:pt>
                <c:pt idx="20">
                  <c:v>0.46</c:v>
                </c:pt>
                <c:pt idx="21">
                  <c:v>2.0299999999999998</c:v>
                </c:pt>
                <c:pt idx="22">
                  <c:v>4.9180000000000001</c:v>
                </c:pt>
                <c:pt idx="23">
                  <c:v>0.80300000000000005</c:v>
                </c:pt>
                <c:pt idx="24">
                  <c:v>2.3050000000000002</c:v>
                </c:pt>
                <c:pt idx="25">
                  <c:v>4.3129999999999997</c:v>
                </c:pt>
                <c:pt idx="26">
                  <c:v>3.8730000000000002</c:v>
                </c:pt>
                <c:pt idx="27">
                  <c:v>4.7</c:v>
                </c:pt>
                <c:pt idx="28">
                  <c:v>2.2850000000000001</c:v>
                </c:pt>
                <c:pt idx="29">
                  <c:v>3.6549999999999998</c:v>
                </c:pt>
                <c:pt idx="30">
                  <c:v>6.8259999999999996</c:v>
                </c:pt>
                <c:pt idx="31">
                  <c:v>7.1870000000000003</c:v>
                </c:pt>
                <c:pt idx="32">
                  <c:v>2.3479999999999999</c:v>
                </c:pt>
                <c:pt idx="33">
                  <c:v>0.58299999999999996</c:v>
                </c:pt>
              </c:numCache>
            </c:numRef>
          </c:val>
          <c:extLst>
            <c:ext xmlns:c16="http://schemas.microsoft.com/office/drawing/2014/chart" uri="{C3380CC4-5D6E-409C-BE32-E72D297353CC}">
              <c16:uniqueId val="{00000000-9721-42AA-9EEC-137892981357}"/>
            </c:ext>
          </c:extLst>
        </c:ser>
        <c:dLbls>
          <c:showLegendKey val="0"/>
          <c:showVal val="0"/>
          <c:showCatName val="0"/>
          <c:showSerName val="0"/>
          <c:showPercent val="0"/>
          <c:showBubbleSize val="0"/>
        </c:dLbls>
        <c:gapWidth val="100"/>
        <c:overlap val="-24"/>
        <c:axId val="974764671"/>
        <c:axId val="642617567"/>
      </c:barChart>
      <c:catAx>
        <c:axId val="9747646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42617567"/>
        <c:crosses val="autoZero"/>
        <c:auto val="1"/>
        <c:lblAlgn val="ctr"/>
        <c:lblOffset val="100"/>
        <c:noMultiLvlLbl val="0"/>
      </c:catAx>
      <c:valAx>
        <c:axId val="642617567"/>
        <c:scaling>
          <c:orientation val="minMax"/>
          <c:max val="2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4764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[DataAnalysis.xlsm]Sheet8!PivotTable28</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Maize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Sheet8!$B$1</c:f>
              <c:strCache>
                <c:ptCount val="1"/>
                <c:pt idx="0">
                  <c:v>Sum of Column5</c:v>
                </c:pt>
              </c:strCache>
            </c:strRef>
          </c:tx>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Sheet8!$A$2:$A$36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Sheet8!$B$2:$B$36</c:f>
              <c:numCache>
                <c:formatCode>General</c:formatCode>
                <c:ptCount val="34"/>
                <c:pt idx="0">
                  <c:v>80</c:v>
                </c:pt>
                <c:pt idx="1">
                  <c:v>87</c:v>
                </c:pt>
                <c:pt idx="2">
                  <c:v>64</c:v>
                </c:pt>
                <c:pt idx="3">
                  <c:v>61</c:v>
                </c:pt>
                <c:pt idx="4">
                  <c:v>48</c:v>
                </c:pt>
                <c:pt idx="5">
                  <c:v>49</c:v>
                </c:pt>
                <c:pt idx="6">
                  <c:v>41.6</c:v>
                </c:pt>
                <c:pt idx="7">
                  <c:v>43.3</c:v>
                </c:pt>
                <c:pt idx="8">
                  <c:v>37.299999999999997</c:v>
                </c:pt>
                <c:pt idx="9">
                  <c:v>76</c:v>
                </c:pt>
                <c:pt idx="10">
                  <c:v>80</c:v>
                </c:pt>
                <c:pt idx="11">
                  <c:v>85</c:v>
                </c:pt>
                <c:pt idx="12">
                  <c:v>86</c:v>
                </c:pt>
                <c:pt idx="13">
                  <c:v>134</c:v>
                </c:pt>
                <c:pt idx="14">
                  <c:v>117</c:v>
                </c:pt>
                <c:pt idx="15">
                  <c:v>88</c:v>
                </c:pt>
                <c:pt idx="16">
                  <c:v>123</c:v>
                </c:pt>
                <c:pt idx="17">
                  <c:v>123</c:v>
                </c:pt>
                <c:pt idx="18">
                  <c:v>48</c:v>
                </c:pt>
                <c:pt idx="19">
                  <c:v>95</c:v>
                </c:pt>
                <c:pt idx="20">
                  <c:v>38</c:v>
                </c:pt>
                <c:pt idx="21">
                  <c:v>62.664000000000001</c:v>
                </c:pt>
                <c:pt idx="22">
                  <c:v>78</c:v>
                </c:pt>
                <c:pt idx="23">
                  <c:v>40.75</c:v>
                </c:pt>
                <c:pt idx="24">
                  <c:v>88.614000000000004</c:v>
                </c:pt>
                <c:pt idx="25">
                  <c:v>118.932</c:v>
                </c:pt>
                <c:pt idx="26">
                  <c:v>110.081</c:v>
                </c:pt>
                <c:pt idx="27">
                  <c:v>151</c:v>
                </c:pt>
                <c:pt idx="28">
                  <c:v>141</c:v>
                </c:pt>
                <c:pt idx="29">
                  <c:v>124</c:v>
                </c:pt>
                <c:pt idx="30">
                  <c:v>130</c:v>
                </c:pt>
                <c:pt idx="31">
                  <c:v>62</c:v>
                </c:pt>
                <c:pt idx="32">
                  <c:v>62</c:v>
                </c:pt>
                <c:pt idx="33">
                  <c:v>39</c:v>
                </c:pt>
              </c:numCache>
            </c:numRef>
          </c:val>
          <c:smooth val="0"/>
          <c:extLst>
            <c:ext xmlns:c16="http://schemas.microsoft.com/office/drawing/2014/chart" uri="{C3380CC4-5D6E-409C-BE32-E72D297353CC}">
              <c16:uniqueId val="{00000000-3D35-4242-A821-95CAE5A18956}"/>
            </c:ext>
          </c:extLst>
        </c:ser>
        <c:ser>
          <c:idx val="1"/>
          <c:order val="1"/>
          <c:tx>
            <c:strRef>
              <c:f>Sheet8!$C$1</c:f>
              <c:strCache>
                <c:ptCount val="1"/>
                <c:pt idx="0">
                  <c:v>Sum of Column6</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Sheet8!$A$2:$A$36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Sheet8!$C$2:$C$36</c:f>
              <c:numCache>
                <c:formatCode>General</c:formatCode>
                <c:ptCount val="34"/>
                <c:pt idx="0">
                  <c:v>47</c:v>
                </c:pt>
                <c:pt idx="1">
                  <c:v>59</c:v>
                </c:pt>
                <c:pt idx="2">
                  <c:v>24</c:v>
                </c:pt>
                <c:pt idx="3">
                  <c:v>20</c:v>
                </c:pt>
                <c:pt idx="4">
                  <c:v>3</c:v>
                </c:pt>
                <c:pt idx="5">
                  <c:v>8</c:v>
                </c:pt>
                <c:pt idx="6">
                  <c:v>7.6</c:v>
                </c:pt>
                <c:pt idx="7">
                  <c:v>3.2</c:v>
                </c:pt>
                <c:pt idx="8">
                  <c:v>29.9</c:v>
                </c:pt>
                <c:pt idx="9">
                  <c:v>45</c:v>
                </c:pt>
                <c:pt idx="10">
                  <c:v>41</c:v>
                </c:pt>
                <c:pt idx="11">
                  <c:v>22</c:v>
                </c:pt>
                <c:pt idx="12">
                  <c:v>20</c:v>
                </c:pt>
                <c:pt idx="13">
                  <c:v>100</c:v>
                </c:pt>
                <c:pt idx="14">
                  <c:v>79</c:v>
                </c:pt>
                <c:pt idx="15">
                  <c:v>24</c:v>
                </c:pt>
                <c:pt idx="16">
                  <c:v>34</c:v>
                </c:pt>
                <c:pt idx="17">
                  <c:v>78</c:v>
                </c:pt>
                <c:pt idx="18">
                  <c:v>25</c:v>
                </c:pt>
                <c:pt idx="19">
                  <c:v>35</c:v>
                </c:pt>
                <c:pt idx="20">
                  <c:v>8</c:v>
                </c:pt>
                <c:pt idx="21">
                  <c:v>42.621000000000002</c:v>
                </c:pt>
                <c:pt idx="22">
                  <c:v>60</c:v>
                </c:pt>
                <c:pt idx="23">
                  <c:v>8.3940000000000001</c:v>
                </c:pt>
                <c:pt idx="24">
                  <c:v>48.662999999999997</c:v>
                </c:pt>
                <c:pt idx="25">
                  <c:v>82.71</c:v>
                </c:pt>
                <c:pt idx="26">
                  <c:v>65.388000000000005</c:v>
                </c:pt>
                <c:pt idx="27">
                  <c:v>101</c:v>
                </c:pt>
                <c:pt idx="28">
                  <c:v>56</c:v>
                </c:pt>
                <c:pt idx="29">
                  <c:v>44</c:v>
                </c:pt>
                <c:pt idx="30">
                  <c:v>104</c:v>
                </c:pt>
                <c:pt idx="31">
                  <c:v>13</c:v>
                </c:pt>
                <c:pt idx="32">
                  <c:v>51</c:v>
                </c:pt>
                <c:pt idx="33">
                  <c:v>7</c:v>
                </c:pt>
              </c:numCache>
            </c:numRef>
          </c:val>
          <c:smooth val="0"/>
          <c:extLst>
            <c:ext xmlns:c16="http://schemas.microsoft.com/office/drawing/2014/chart" uri="{C3380CC4-5D6E-409C-BE32-E72D297353CC}">
              <c16:uniqueId val="{00000000-7048-4C78-84A1-A157E13A4C3F}"/>
            </c:ext>
          </c:extLst>
        </c:ser>
        <c:dLbls>
          <c:showLegendKey val="0"/>
          <c:showVal val="0"/>
          <c:showCatName val="0"/>
          <c:showSerName val="0"/>
          <c:showPercent val="0"/>
          <c:showBubbleSize val="0"/>
        </c:dLbls>
        <c:marker val="1"/>
        <c:smooth val="0"/>
        <c:axId val="976042015"/>
        <c:axId val="976039615"/>
      </c:lineChart>
      <c:catAx>
        <c:axId val="976042015"/>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039615"/>
        <c:crosses val="autoZero"/>
        <c:auto val="1"/>
        <c:lblAlgn val="ctr"/>
        <c:lblOffset val="100"/>
        <c:noMultiLvlLbl val="0"/>
      </c:catAx>
      <c:valAx>
        <c:axId val="976039615"/>
        <c:scaling>
          <c:orientation val="minMax"/>
          <c:max val="30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042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144030351858470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739908671560653"/>
          <c:y val="0.23905527179233746"/>
          <c:w val="0.78095728387687813"/>
          <c:h val="0.57957467838141319"/>
        </c:manualLayout>
      </c:layout>
      <c:areaChart>
        <c:grouping val="standard"/>
        <c:varyColors val="0"/>
        <c:ser>
          <c:idx val="0"/>
          <c:order val="0"/>
          <c:tx>
            <c:strRef>
              <c:f>Sheet1!$N$2</c:f>
              <c:strCache>
                <c:ptCount val="1"/>
                <c:pt idx="0">
                  <c:v>
Agriculture, forestry and fishing % of
Botswana GDP</c:v>
                </c:pt>
              </c:strCache>
            </c:strRef>
          </c:tx>
          <c:spPr>
            <a:solidFill>
              <a:schemeClr val="accent2">
                <a:lumMod val="50000"/>
              </a:schemeClr>
            </a:solidFill>
            <a:ln>
              <a:noFill/>
            </a:ln>
            <a:effectLst/>
          </c:spPr>
          <c:cat>
            <c:numRef>
              <c:f>Sheet1!$A$3:$A$36</c:f>
              <c:numCache>
                <c:formatCode>General</c:formatCod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numCache>
            </c:numRef>
          </c:cat>
          <c:val>
            <c:numRef>
              <c:f>Sheet1!$N$3:$N$36</c:f>
              <c:numCache>
                <c:formatCode>General</c:formatCode>
                <c:ptCount val="34"/>
                <c:pt idx="0">
                  <c:v>12.703899096476867</c:v>
                </c:pt>
                <c:pt idx="1">
                  <c:v>12.370617696160267</c:v>
                </c:pt>
                <c:pt idx="2">
                  <c:v>10.27223577819243</c:v>
                </c:pt>
                <c:pt idx="3">
                  <c:v>7.9713807986934713</c:v>
                </c:pt>
                <c:pt idx="4">
                  <c:v>6.8930200800720032</c:v>
                </c:pt>
                <c:pt idx="5">
                  <c:v>5.9218746316509119</c:v>
                </c:pt>
                <c:pt idx="6">
                  <c:v>5.2867897130192212</c:v>
                </c:pt>
                <c:pt idx="7">
                  <c:v>6.2448855887255643</c:v>
                </c:pt>
                <c:pt idx="8">
                  <c:v>5.6319533479465651</c:v>
                </c:pt>
                <c:pt idx="9">
                  <c:v>4.6969928623733619</c:v>
                </c:pt>
                <c:pt idx="10">
                  <c:v>4.5261508575155798</c:v>
                </c:pt>
                <c:pt idx="11">
                  <c:v>4.5211925631218497</c:v>
                </c:pt>
                <c:pt idx="12">
                  <c:v>4.637720943709871</c:v>
                </c:pt>
                <c:pt idx="13">
                  <c:v>3.6909940489857211</c:v>
                </c:pt>
                <c:pt idx="14">
                  <c:v>3.5427056166042843</c:v>
                </c:pt>
                <c:pt idx="15">
                  <c:v>3.1668642560758742</c:v>
                </c:pt>
                <c:pt idx="16">
                  <c:v>2.9907654940184689</c:v>
                </c:pt>
                <c:pt idx="17">
                  <c:v>2.7946997890345369</c:v>
                </c:pt>
                <c:pt idx="18">
                  <c:v>2.5902906202539144</c:v>
                </c:pt>
                <c:pt idx="19">
                  <c:v>2.4256159925615992</c:v>
                </c:pt>
                <c:pt idx="20">
                  <c:v>2.7223869552226621</c:v>
                </c:pt>
                <c:pt idx="21">
                  <c:v>2.2595853495910205</c:v>
                </c:pt>
                <c:pt idx="22">
                  <c:v>1.738935094243008</c:v>
                </c:pt>
                <c:pt idx="23">
                  <c:v>1.9266843575501542</c:v>
                </c:pt>
                <c:pt idx="24">
                  <c:v>2.1400702761033656</c:v>
                </c:pt>
                <c:pt idx="25">
                  <c:v>2.3759841962596266</c:v>
                </c:pt>
                <c:pt idx="26">
                  <c:v>2.0910409188325034</c:v>
                </c:pt>
                <c:pt idx="27">
                  <c:v>2.1189230068096188</c:v>
                </c:pt>
                <c:pt idx="28">
                  <c:v>2.3148110827157962</c:v>
                </c:pt>
                <c:pt idx="29">
                  <c:v>1.9935432232723445</c:v>
                </c:pt>
                <c:pt idx="30">
                  <c:v>1.8195983525325894</c:v>
                </c:pt>
                <c:pt idx="31">
                  <c:v>1.9477648675882884</c:v>
                </c:pt>
                <c:pt idx="32">
                  <c:v>1.8419939490754045</c:v>
                </c:pt>
                <c:pt idx="33">
                  <c:v>2.0871641141501707</c:v>
                </c:pt>
              </c:numCache>
            </c:numRef>
          </c:val>
          <c:extLst>
            <c:ext xmlns:c16="http://schemas.microsoft.com/office/drawing/2014/chart" uri="{C3380CC4-5D6E-409C-BE32-E72D297353CC}">
              <c16:uniqueId val="{00000000-B448-4C48-BB89-2926A5BFF095}"/>
            </c:ext>
          </c:extLst>
        </c:ser>
        <c:dLbls>
          <c:showLegendKey val="0"/>
          <c:showVal val="0"/>
          <c:showCatName val="0"/>
          <c:showSerName val="0"/>
          <c:showPercent val="0"/>
          <c:showBubbleSize val="0"/>
        </c:dLbls>
        <c:axId val="1099726559"/>
        <c:axId val="1099725119"/>
      </c:areaChart>
      <c:catAx>
        <c:axId val="10997265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9725119"/>
        <c:crosses val="autoZero"/>
        <c:auto val="1"/>
        <c:lblAlgn val="ctr"/>
        <c:lblOffset val="100"/>
        <c:noMultiLvlLbl val="0"/>
      </c:catAx>
      <c:valAx>
        <c:axId val="1099725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972655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Yield/hactre (Kg)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Sheet1!$R$10</c:f>
              <c:strCache>
                <c:ptCount val="1"/>
                <c:pt idx="0">
                  <c:v>Yield/hactre</c:v>
                </c:pt>
              </c:strCache>
            </c:strRef>
          </c:tx>
          <c:spPr>
            <a:solidFill>
              <a:schemeClr val="accent1"/>
            </a:solidFill>
            <a:ln>
              <a:noFill/>
            </a:ln>
            <a:effectLst/>
          </c:spPr>
          <c:invertIfNegative val="0"/>
          <c:cat>
            <c:strRef>
              <c:f>Sheet1!$Q$11:$Q$14</c:f>
              <c:strCache>
                <c:ptCount val="4"/>
                <c:pt idx="0">
                  <c:v>Sorghum</c:v>
                </c:pt>
                <c:pt idx="1">
                  <c:v>Maize</c:v>
                </c:pt>
                <c:pt idx="2">
                  <c:v>Millet</c:v>
                </c:pt>
                <c:pt idx="3">
                  <c:v>Beans</c:v>
                </c:pt>
              </c:strCache>
            </c:strRef>
          </c:cat>
          <c:val>
            <c:numRef>
              <c:f>Sheet1!$R$11:$R$14</c:f>
              <c:numCache>
                <c:formatCode>General</c:formatCode>
                <c:ptCount val="4"/>
                <c:pt idx="0">
                  <c:v>558.70000000000005</c:v>
                </c:pt>
                <c:pt idx="1">
                  <c:v>255</c:v>
                </c:pt>
                <c:pt idx="2">
                  <c:v>288.2</c:v>
                </c:pt>
                <c:pt idx="3">
                  <c:v>190.8</c:v>
                </c:pt>
              </c:numCache>
            </c:numRef>
          </c:val>
          <c:extLst>
            <c:ext xmlns:c16="http://schemas.microsoft.com/office/drawing/2014/chart" uri="{C3380CC4-5D6E-409C-BE32-E72D297353CC}">
              <c16:uniqueId val="{00000000-074A-41FF-94C4-988E29E8B01F}"/>
            </c:ext>
          </c:extLst>
        </c:ser>
        <c:dLbls>
          <c:showLegendKey val="0"/>
          <c:showVal val="0"/>
          <c:showCatName val="0"/>
          <c:showSerName val="0"/>
          <c:showPercent val="0"/>
          <c:showBubbleSize val="0"/>
        </c:dLbls>
        <c:gapWidth val="182"/>
        <c:axId val="1537431279"/>
        <c:axId val="1537431759"/>
      </c:barChart>
      <c:catAx>
        <c:axId val="1537431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431759"/>
        <c:crosses val="autoZero"/>
        <c:auto val="1"/>
        <c:lblAlgn val="ctr"/>
        <c:lblOffset val="100"/>
        <c:noMultiLvlLbl val="0"/>
      </c:catAx>
      <c:valAx>
        <c:axId val="15374317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4312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Sheet1!$R$3</c:f>
              <c:strCache>
                <c:ptCount val="1"/>
                <c:pt idx="0">
                  <c:v>% of area planted
harvested</c:v>
                </c:pt>
              </c:strCache>
            </c:strRef>
          </c:tx>
          <c:spPr>
            <a:solidFill>
              <a:schemeClr val="accent1"/>
            </a:solidFill>
            <a:ln>
              <a:noFill/>
            </a:ln>
            <a:effectLst/>
          </c:spPr>
          <c:invertIfNegative val="0"/>
          <c:cat>
            <c:strRef>
              <c:f>Sheet1!$Q$4:$Q$7</c:f>
              <c:strCache>
                <c:ptCount val="4"/>
                <c:pt idx="0">
                  <c:v>Sorghum</c:v>
                </c:pt>
                <c:pt idx="1">
                  <c:v>Maize</c:v>
                </c:pt>
                <c:pt idx="2">
                  <c:v>Millet</c:v>
                </c:pt>
                <c:pt idx="3">
                  <c:v>Beans</c:v>
                </c:pt>
              </c:strCache>
            </c:strRef>
          </c:cat>
          <c:val>
            <c:numRef>
              <c:f>Sheet1!$R$4:$R$7</c:f>
              <c:numCache>
                <c:formatCode>General</c:formatCode>
                <c:ptCount val="4"/>
                <c:pt idx="0">
                  <c:v>58</c:v>
                </c:pt>
                <c:pt idx="1">
                  <c:v>45.5</c:v>
                </c:pt>
                <c:pt idx="2">
                  <c:v>63.5</c:v>
                </c:pt>
                <c:pt idx="3">
                  <c:v>51.2</c:v>
                </c:pt>
              </c:numCache>
            </c:numRef>
          </c:val>
          <c:extLst>
            <c:ext xmlns:c16="http://schemas.microsoft.com/office/drawing/2014/chart" uri="{C3380CC4-5D6E-409C-BE32-E72D297353CC}">
              <c16:uniqueId val="{00000000-FAF9-4B2A-9D02-34DCB084C4EF}"/>
            </c:ext>
          </c:extLst>
        </c:ser>
        <c:dLbls>
          <c:showLegendKey val="0"/>
          <c:showVal val="0"/>
          <c:showCatName val="0"/>
          <c:showSerName val="0"/>
          <c:showPercent val="0"/>
          <c:showBubbleSize val="0"/>
        </c:dLbls>
        <c:gapWidth val="182"/>
        <c:axId val="271399935"/>
        <c:axId val="271398495"/>
      </c:barChart>
      <c:catAx>
        <c:axId val="271399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398495"/>
        <c:crosses val="autoZero"/>
        <c:auto val="1"/>
        <c:lblAlgn val="ctr"/>
        <c:lblOffset val="100"/>
        <c:noMultiLvlLbl val="0"/>
      </c:catAx>
      <c:valAx>
        <c:axId val="2713984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3999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[DataAnalysis.xlsm]Sheet10!PivotTable13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a:t>Beans</a:t>
            </a:r>
          </a:p>
        </c:rich>
      </c:tx>
      <c:layout>
        <c:manualLayout>
          <c:xMode val="edge"/>
          <c:yMode val="edge"/>
          <c:x val="0.42338188976377955"/>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9050" cap="flat">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692038495188102E-2"/>
          <c:y val="0.1804486454748771"/>
          <c:w val="0.88161358718998661"/>
          <c:h val="0.64072686609421348"/>
        </c:manualLayout>
      </c:layout>
      <c:lineChart>
        <c:grouping val="standard"/>
        <c:varyColors val="0"/>
        <c:ser>
          <c:idx val="0"/>
          <c:order val="0"/>
          <c:tx>
            <c:strRef>
              <c:f>Sheet10!$B$1</c:f>
              <c:strCache>
                <c:ptCount val="1"/>
                <c:pt idx="0">
                  <c:v>Sum of Area 
Planted
(*1000
hactres)4</c:v>
                </c:pt>
              </c:strCache>
            </c:strRef>
          </c:tx>
          <c:spPr>
            <a:ln w="19050" cap="flat">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Sheet10!$A$2:$A$36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Sheet10!$B$2:$B$36</c:f>
              <c:numCache>
                <c:formatCode>General</c:formatCode>
                <c:ptCount val="34"/>
                <c:pt idx="0">
                  <c:v>24</c:v>
                </c:pt>
                <c:pt idx="1">
                  <c:v>26</c:v>
                </c:pt>
                <c:pt idx="2">
                  <c:v>20</c:v>
                </c:pt>
                <c:pt idx="3">
                  <c:v>22</c:v>
                </c:pt>
                <c:pt idx="4">
                  <c:v>17</c:v>
                </c:pt>
                <c:pt idx="5">
                  <c:v>15</c:v>
                </c:pt>
                <c:pt idx="6">
                  <c:v>15.7</c:v>
                </c:pt>
                <c:pt idx="7">
                  <c:v>14.9</c:v>
                </c:pt>
                <c:pt idx="8">
                  <c:v>17.100000000000001</c:v>
                </c:pt>
                <c:pt idx="9">
                  <c:v>28.2</c:v>
                </c:pt>
                <c:pt idx="10">
                  <c:v>20</c:v>
                </c:pt>
                <c:pt idx="11">
                  <c:v>27</c:v>
                </c:pt>
                <c:pt idx="12">
                  <c:v>26</c:v>
                </c:pt>
                <c:pt idx="13">
                  <c:v>36</c:v>
                </c:pt>
                <c:pt idx="14">
                  <c:v>77</c:v>
                </c:pt>
                <c:pt idx="15">
                  <c:v>32</c:v>
                </c:pt>
                <c:pt idx="16">
                  <c:v>38</c:v>
                </c:pt>
                <c:pt idx="17">
                  <c:v>35</c:v>
                </c:pt>
                <c:pt idx="18">
                  <c:v>15</c:v>
                </c:pt>
                <c:pt idx="19">
                  <c:v>30</c:v>
                </c:pt>
                <c:pt idx="20">
                  <c:v>11</c:v>
                </c:pt>
                <c:pt idx="21">
                  <c:v>14.957000000000001</c:v>
                </c:pt>
                <c:pt idx="22">
                  <c:v>23</c:v>
                </c:pt>
                <c:pt idx="23">
                  <c:v>18.634</c:v>
                </c:pt>
                <c:pt idx="24">
                  <c:v>29.545000000000002</c:v>
                </c:pt>
                <c:pt idx="25">
                  <c:v>31.524999999999999</c:v>
                </c:pt>
                <c:pt idx="26">
                  <c:v>27.849</c:v>
                </c:pt>
                <c:pt idx="27">
                  <c:v>29</c:v>
                </c:pt>
                <c:pt idx="28">
                  <c:v>31</c:v>
                </c:pt>
                <c:pt idx="29">
                  <c:v>36</c:v>
                </c:pt>
                <c:pt idx="30">
                  <c:v>37</c:v>
                </c:pt>
                <c:pt idx="31">
                  <c:v>23</c:v>
                </c:pt>
                <c:pt idx="32">
                  <c:v>27</c:v>
                </c:pt>
                <c:pt idx="33">
                  <c:v>19</c:v>
                </c:pt>
              </c:numCache>
            </c:numRef>
          </c:val>
          <c:smooth val="0"/>
          <c:extLst>
            <c:ext xmlns:c16="http://schemas.microsoft.com/office/drawing/2014/chart" uri="{C3380CC4-5D6E-409C-BE32-E72D297353CC}">
              <c16:uniqueId val="{00000000-735F-4E32-B3BF-48A8DD230AE7}"/>
            </c:ext>
          </c:extLst>
        </c:ser>
        <c:ser>
          <c:idx val="1"/>
          <c:order val="1"/>
          <c:tx>
            <c:strRef>
              <c:f>Sheet10!$C$1</c:f>
              <c:strCache>
                <c:ptCount val="1"/>
                <c:pt idx="0">
                  <c:v>Sum of Area
Harvested
(*1000 hactres)4</c:v>
                </c:pt>
              </c:strCache>
            </c:strRef>
          </c:tx>
          <c:spPr>
            <a:ln w="19050"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Sheet10!$A$2:$A$36</c:f>
              <c:strCache>
                <c:ptCount val="34"/>
                <c:pt idx="0">
                  <c:v>1980</c:v>
                </c:pt>
                <c:pt idx="1">
                  <c:v>1981</c:v>
                </c:pt>
                <c:pt idx="2">
                  <c:v>1982</c:v>
                </c:pt>
                <c:pt idx="3">
                  <c:v>1983</c:v>
                </c:pt>
                <c:pt idx="4">
                  <c:v>1984</c:v>
                </c:pt>
                <c:pt idx="5">
                  <c:v>1985</c:v>
                </c:pt>
                <c:pt idx="6">
                  <c:v>1986</c:v>
                </c:pt>
                <c:pt idx="7">
                  <c:v>1987</c:v>
                </c:pt>
                <c:pt idx="8">
                  <c:v>1988</c:v>
                </c:pt>
                <c:pt idx="9">
                  <c:v>1989</c:v>
                </c:pt>
                <c:pt idx="10">
                  <c:v>1990</c:v>
                </c:pt>
                <c:pt idx="11">
                  <c:v>1993</c:v>
                </c:pt>
                <c:pt idx="12">
                  <c:v>1995</c:v>
                </c:pt>
                <c:pt idx="13">
                  <c:v>1996</c:v>
                </c:pt>
                <c:pt idx="14">
                  <c:v>1997</c:v>
                </c:pt>
                <c:pt idx="15">
                  <c:v>1998</c:v>
                </c:pt>
                <c:pt idx="16">
                  <c:v>1999</c:v>
                </c:pt>
                <c:pt idx="17">
                  <c:v>2000</c:v>
                </c:pt>
                <c:pt idx="18">
                  <c:v>2001</c:v>
                </c:pt>
                <c:pt idx="19">
                  <c:v>2002</c:v>
                </c:pt>
                <c:pt idx="20">
                  <c:v>2003</c:v>
                </c:pt>
                <c:pt idx="21">
                  <c:v>2004</c:v>
                </c:pt>
                <c:pt idx="22">
                  <c:v>2006</c:v>
                </c:pt>
                <c:pt idx="23">
                  <c:v>2007</c:v>
                </c:pt>
                <c:pt idx="24">
                  <c:v>2008</c:v>
                </c:pt>
                <c:pt idx="25">
                  <c:v>2009</c:v>
                </c:pt>
                <c:pt idx="26">
                  <c:v>2010</c:v>
                </c:pt>
                <c:pt idx="27">
                  <c:v>2011</c:v>
                </c:pt>
                <c:pt idx="28">
                  <c:v>2012</c:v>
                </c:pt>
                <c:pt idx="29">
                  <c:v>2013</c:v>
                </c:pt>
                <c:pt idx="30">
                  <c:v>2014</c:v>
                </c:pt>
                <c:pt idx="31">
                  <c:v>2015</c:v>
                </c:pt>
                <c:pt idx="32">
                  <c:v>2017</c:v>
                </c:pt>
                <c:pt idx="33">
                  <c:v>2019</c:v>
                </c:pt>
              </c:strCache>
            </c:strRef>
          </c:cat>
          <c:val>
            <c:numRef>
              <c:f>Sheet10!$C$2:$C$36</c:f>
              <c:numCache>
                <c:formatCode>General</c:formatCode>
                <c:ptCount val="34"/>
                <c:pt idx="0">
                  <c:v>13</c:v>
                </c:pt>
                <c:pt idx="1">
                  <c:v>15</c:v>
                </c:pt>
                <c:pt idx="2">
                  <c:v>4</c:v>
                </c:pt>
                <c:pt idx="3">
                  <c:v>3</c:v>
                </c:pt>
                <c:pt idx="4">
                  <c:v>3</c:v>
                </c:pt>
                <c:pt idx="5">
                  <c:v>3</c:v>
                </c:pt>
                <c:pt idx="6">
                  <c:v>5</c:v>
                </c:pt>
                <c:pt idx="7">
                  <c:v>2.2000000000000002</c:v>
                </c:pt>
                <c:pt idx="8">
                  <c:v>9.9</c:v>
                </c:pt>
                <c:pt idx="9">
                  <c:v>15.5</c:v>
                </c:pt>
                <c:pt idx="10">
                  <c:v>12</c:v>
                </c:pt>
                <c:pt idx="11">
                  <c:v>9</c:v>
                </c:pt>
                <c:pt idx="12">
                  <c:v>10</c:v>
                </c:pt>
                <c:pt idx="13">
                  <c:v>25</c:v>
                </c:pt>
                <c:pt idx="14">
                  <c:v>34</c:v>
                </c:pt>
                <c:pt idx="15">
                  <c:v>13</c:v>
                </c:pt>
                <c:pt idx="16">
                  <c:v>11</c:v>
                </c:pt>
                <c:pt idx="17">
                  <c:v>22</c:v>
                </c:pt>
                <c:pt idx="18">
                  <c:v>8</c:v>
                </c:pt>
                <c:pt idx="19">
                  <c:v>11</c:v>
                </c:pt>
                <c:pt idx="20">
                  <c:v>3</c:v>
                </c:pt>
                <c:pt idx="21">
                  <c:v>7.5039999999999996</c:v>
                </c:pt>
                <c:pt idx="22">
                  <c:v>16</c:v>
                </c:pt>
                <c:pt idx="23">
                  <c:v>3.7320000000000002</c:v>
                </c:pt>
                <c:pt idx="24">
                  <c:v>13.938000000000001</c:v>
                </c:pt>
                <c:pt idx="25">
                  <c:v>19.585000000000001</c:v>
                </c:pt>
                <c:pt idx="26">
                  <c:v>16.995000000000001</c:v>
                </c:pt>
                <c:pt idx="27">
                  <c:v>20</c:v>
                </c:pt>
                <c:pt idx="28">
                  <c:v>12</c:v>
                </c:pt>
                <c:pt idx="29">
                  <c:v>16</c:v>
                </c:pt>
                <c:pt idx="30">
                  <c:v>25</c:v>
                </c:pt>
                <c:pt idx="31">
                  <c:v>6</c:v>
                </c:pt>
                <c:pt idx="32">
                  <c:v>16</c:v>
                </c:pt>
                <c:pt idx="33">
                  <c:v>6</c:v>
                </c:pt>
              </c:numCache>
            </c:numRef>
          </c:val>
          <c:smooth val="0"/>
          <c:extLst>
            <c:ext xmlns:c16="http://schemas.microsoft.com/office/drawing/2014/chart" uri="{C3380CC4-5D6E-409C-BE32-E72D297353CC}">
              <c16:uniqueId val="{00000001-735F-4E32-B3BF-48A8DD230AE7}"/>
            </c:ext>
          </c:extLst>
        </c:ser>
        <c:dLbls>
          <c:showLegendKey val="0"/>
          <c:showVal val="0"/>
          <c:showCatName val="0"/>
          <c:showSerName val="0"/>
          <c:showPercent val="0"/>
          <c:showBubbleSize val="0"/>
        </c:dLbls>
        <c:marker val="1"/>
        <c:smooth val="0"/>
        <c:axId val="180810879"/>
        <c:axId val="180811359"/>
      </c:lineChart>
      <c:catAx>
        <c:axId val="18081087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88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811359"/>
        <c:crosses val="autoZero"/>
        <c:auto val="1"/>
        <c:lblAlgn val="ctr"/>
        <c:lblOffset val="100"/>
        <c:noMultiLvlLbl val="0"/>
      </c:catAx>
      <c:valAx>
        <c:axId val="18081135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0810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prstDash val="sysDot"/>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259848</xdr:colOff>
      <xdr:row>4</xdr:row>
      <xdr:rowOff>159527</xdr:rowOff>
    </xdr:from>
    <xdr:to>
      <xdr:col>9</xdr:col>
      <xdr:colOff>574680</xdr:colOff>
      <xdr:row>15</xdr:row>
      <xdr:rowOff>146369</xdr:rowOff>
    </xdr:to>
    <xdr:graphicFrame macro="">
      <xdr:nvGraphicFramePr>
        <xdr:cNvPr id="2" name="Chart 1">
          <a:extLst>
            <a:ext uri="{FF2B5EF4-FFF2-40B4-BE49-F238E27FC236}">
              <a16:creationId xmlns:a16="http://schemas.microsoft.com/office/drawing/2014/main" id="{DCECE01A-0F90-423B-94BE-FEC2CEF24F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111831</xdr:colOff>
      <xdr:row>3</xdr:row>
      <xdr:rowOff>124989</xdr:rowOff>
    </xdr:from>
    <xdr:to>
      <xdr:col>3</xdr:col>
      <xdr:colOff>105254</xdr:colOff>
      <xdr:row>32</xdr:row>
      <xdr:rowOff>52629</xdr:rowOff>
    </xdr:to>
    <mc:AlternateContent xmlns:mc="http://schemas.openxmlformats.org/markup-compatibility/2006" xmlns:a14="http://schemas.microsoft.com/office/drawing/2010/main">
      <mc:Choice Requires="a14">
        <xdr:graphicFrame macro="">
          <xdr:nvGraphicFramePr>
            <xdr:cNvPr id="3" name="Column1">
              <a:extLst>
                <a:ext uri="{FF2B5EF4-FFF2-40B4-BE49-F238E27FC236}">
                  <a16:creationId xmlns:a16="http://schemas.microsoft.com/office/drawing/2014/main" id="{3F2C83FA-0DAD-5817-498E-71F2C805E7DE}"/>
                </a:ext>
              </a:extLst>
            </xdr:cNvPr>
            <xdr:cNvGraphicFramePr/>
          </xdr:nvGraphicFramePr>
          <xdr:xfrm>
            <a:off x="0" y="0"/>
            <a:ext cx="0" cy="0"/>
          </xdr:xfrm>
          <a:graphic>
            <a:graphicData uri="http://schemas.microsoft.com/office/drawing/2010/slicer">
              <sle:slicer xmlns:sle="http://schemas.microsoft.com/office/drawing/2010/slicer" name="Column1"/>
            </a:graphicData>
          </a:graphic>
        </xdr:graphicFrame>
      </mc:Choice>
      <mc:Fallback xmlns="">
        <xdr:sp macro="" textlink="">
          <xdr:nvSpPr>
            <xdr:cNvPr id="0" name=""/>
            <xdr:cNvSpPr>
              <a:spLocks noTextEdit="1"/>
            </xdr:cNvSpPr>
          </xdr:nvSpPr>
          <xdr:spPr>
            <a:xfrm>
              <a:off x="111831" y="677577"/>
              <a:ext cx="1888007" cy="5269314"/>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279580</xdr:colOff>
      <xdr:row>27</xdr:row>
      <xdr:rowOff>39468</xdr:rowOff>
    </xdr:from>
    <xdr:to>
      <xdr:col>9</xdr:col>
      <xdr:colOff>594412</xdr:colOff>
      <xdr:row>38</xdr:row>
      <xdr:rowOff>25714</xdr:rowOff>
    </xdr:to>
    <xdr:graphicFrame macro="">
      <xdr:nvGraphicFramePr>
        <xdr:cNvPr id="20" name="Chart 19">
          <a:extLst>
            <a:ext uri="{FF2B5EF4-FFF2-40B4-BE49-F238E27FC236}">
              <a16:creationId xmlns:a16="http://schemas.microsoft.com/office/drawing/2014/main" id="{4494C622-64D2-B546-2A9C-746C48AC6F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493383</xdr:colOff>
      <xdr:row>4</xdr:row>
      <xdr:rowOff>174330</xdr:rowOff>
    </xdr:from>
    <xdr:to>
      <xdr:col>23</xdr:col>
      <xdr:colOff>176685</xdr:colOff>
      <xdr:row>15</xdr:row>
      <xdr:rowOff>160576</xdr:rowOff>
    </xdr:to>
    <xdr:graphicFrame macro="">
      <xdr:nvGraphicFramePr>
        <xdr:cNvPr id="24" name="Chart 23">
          <a:extLst>
            <a:ext uri="{FF2B5EF4-FFF2-40B4-BE49-F238E27FC236}">
              <a16:creationId xmlns:a16="http://schemas.microsoft.com/office/drawing/2014/main" id="{0D2BEFBE-D8D1-932B-7F02-2F9EC24E7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467068</xdr:colOff>
      <xdr:row>16</xdr:row>
      <xdr:rowOff>24671</xdr:rowOff>
    </xdr:from>
    <xdr:to>
      <xdr:col>23</xdr:col>
      <xdr:colOff>150370</xdr:colOff>
      <xdr:row>27</xdr:row>
      <xdr:rowOff>10917</xdr:rowOff>
    </xdr:to>
    <xdr:graphicFrame macro="">
      <xdr:nvGraphicFramePr>
        <xdr:cNvPr id="26" name="Chart 25">
          <a:extLst>
            <a:ext uri="{FF2B5EF4-FFF2-40B4-BE49-F238E27FC236}">
              <a16:creationId xmlns:a16="http://schemas.microsoft.com/office/drawing/2014/main" id="{683ECF11-E960-5B6C-E188-1A9C40B51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455556</xdr:colOff>
      <xdr:row>27</xdr:row>
      <xdr:rowOff>50985</xdr:rowOff>
    </xdr:from>
    <xdr:to>
      <xdr:col>23</xdr:col>
      <xdr:colOff>138858</xdr:colOff>
      <xdr:row>38</xdr:row>
      <xdr:rowOff>37233</xdr:rowOff>
    </xdr:to>
    <xdr:graphicFrame macro="">
      <xdr:nvGraphicFramePr>
        <xdr:cNvPr id="27" name="Chart 26">
          <a:extLst>
            <a:ext uri="{FF2B5EF4-FFF2-40B4-BE49-F238E27FC236}">
              <a16:creationId xmlns:a16="http://schemas.microsoft.com/office/drawing/2014/main" id="{7B0F1366-E192-0947-39F9-34542C7061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434176</xdr:colOff>
      <xdr:row>38</xdr:row>
      <xdr:rowOff>75652</xdr:rowOff>
    </xdr:from>
    <xdr:to>
      <xdr:col>23</xdr:col>
      <xdr:colOff>117478</xdr:colOff>
      <xdr:row>49</xdr:row>
      <xdr:rowOff>61902</xdr:rowOff>
    </xdr:to>
    <xdr:graphicFrame macro="">
      <xdr:nvGraphicFramePr>
        <xdr:cNvPr id="29" name="Chart 28">
          <a:extLst>
            <a:ext uri="{FF2B5EF4-FFF2-40B4-BE49-F238E27FC236}">
              <a16:creationId xmlns:a16="http://schemas.microsoft.com/office/drawing/2014/main" id="{D4C5A463-C155-0397-2D9C-E333B300EE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276295</xdr:colOff>
      <xdr:row>16</xdr:row>
      <xdr:rowOff>13157</xdr:rowOff>
    </xdr:from>
    <xdr:to>
      <xdr:col>9</xdr:col>
      <xdr:colOff>591127</xdr:colOff>
      <xdr:row>26</xdr:row>
      <xdr:rowOff>183599</xdr:rowOff>
    </xdr:to>
    <xdr:graphicFrame macro="">
      <xdr:nvGraphicFramePr>
        <xdr:cNvPr id="31" name="Chart 30">
          <a:extLst>
            <a:ext uri="{FF2B5EF4-FFF2-40B4-BE49-F238E27FC236}">
              <a16:creationId xmlns:a16="http://schemas.microsoft.com/office/drawing/2014/main" id="{6056AF0A-16C5-EDEF-DF3B-81B8C3C4C1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80822</xdr:colOff>
      <xdr:row>32</xdr:row>
      <xdr:rowOff>184193</xdr:rowOff>
    </xdr:from>
    <xdr:to>
      <xdr:col>3</xdr:col>
      <xdr:colOff>184196</xdr:colOff>
      <xdr:row>47</xdr:row>
      <xdr:rowOff>171038</xdr:rowOff>
    </xdr:to>
    <xdr:sp macro="" textlink="">
      <xdr:nvSpPr>
        <xdr:cNvPr id="4" name="Rectangle: Rounded Corners 3">
          <a:extLst>
            <a:ext uri="{FF2B5EF4-FFF2-40B4-BE49-F238E27FC236}">
              <a16:creationId xmlns:a16="http://schemas.microsoft.com/office/drawing/2014/main" id="{20385375-B735-708E-51A1-846CC8D1F684}"/>
            </a:ext>
          </a:extLst>
        </xdr:cNvPr>
        <xdr:cNvSpPr/>
      </xdr:nvSpPr>
      <xdr:spPr>
        <a:xfrm>
          <a:off x="80822" y="6078455"/>
          <a:ext cx="1997958" cy="2749781"/>
        </a:xfrm>
        <a:prstGeom prst="roundRect">
          <a:avLst/>
        </a:prstGeom>
        <a:solidFill>
          <a:schemeClr val="tx2">
            <a:lumMod val="50000"/>
          </a:schemeClr>
        </a:solidFill>
        <a:ln>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oneCellAnchor>
    <xdr:from>
      <xdr:col>0</xdr:col>
      <xdr:colOff>0</xdr:colOff>
      <xdr:row>34</xdr:row>
      <xdr:rowOff>13157</xdr:rowOff>
    </xdr:from>
    <xdr:ext cx="2039309" cy="2157720"/>
    <xdr:sp macro="" textlink="">
      <xdr:nvSpPr>
        <xdr:cNvPr id="6" name="Rectangle 5">
          <a:extLst>
            <a:ext uri="{FF2B5EF4-FFF2-40B4-BE49-F238E27FC236}">
              <a16:creationId xmlns:a16="http://schemas.microsoft.com/office/drawing/2014/main" id="{BAA3A6D1-9789-9B4D-9E6D-672B9E8156C8}"/>
            </a:ext>
          </a:extLst>
        </xdr:cNvPr>
        <xdr:cNvSpPr/>
      </xdr:nvSpPr>
      <xdr:spPr>
        <a:xfrm>
          <a:off x="0" y="6275811"/>
          <a:ext cx="2039309" cy="2157720"/>
        </a:xfrm>
        <a:prstGeom prst="rect">
          <a:avLst/>
        </a:prstGeom>
        <a:noFill/>
      </xdr:spPr>
      <xdr:txBody>
        <a:bodyPr wrap="square" lIns="91440" tIns="45720" rIns="91440" bIns="45720">
          <a:noAutofit/>
        </a:bodyPr>
        <a:lstStyle/>
        <a:p>
          <a:pPr algn="ctr"/>
          <a:r>
            <a:rPr lang="en-US" sz="2400" b="0" cap="none" spc="0">
              <a:ln w="0"/>
              <a:solidFill>
                <a:srgbClr val="00B050"/>
              </a:solidFill>
              <a:effectLst>
                <a:outerShdw blurRad="38100" dist="25400" dir="5400000" algn="ctr" rotWithShape="0">
                  <a:srgbClr val="6E747A">
                    <a:alpha val="43000"/>
                  </a:srgbClr>
                </a:outerShdw>
              </a:effectLst>
            </a:rPr>
            <a:t>Agriculture</a:t>
          </a:r>
          <a:r>
            <a:rPr lang="en-US" sz="1600" b="0" cap="none" spc="0">
              <a:ln w="0"/>
              <a:solidFill>
                <a:schemeClr val="accent1"/>
              </a:solidFill>
              <a:effectLst>
                <a:outerShdw blurRad="38100" dist="25400" dir="5400000" algn="ctr" rotWithShape="0">
                  <a:srgbClr val="6E747A">
                    <a:alpha val="43000"/>
                  </a:srgbClr>
                </a:outerShdw>
              </a:effectLst>
            </a:rPr>
            <a:t>,</a:t>
          </a:r>
        </a:p>
        <a:p>
          <a:pPr algn="ctr"/>
          <a:r>
            <a:rPr lang="en-US" sz="1600" b="0" cap="none" spc="0">
              <a:ln w="0"/>
              <a:solidFill>
                <a:schemeClr val="accent1"/>
              </a:solidFill>
              <a:effectLst>
                <a:outerShdw blurRad="38100" dist="25400" dir="5400000" algn="ctr" rotWithShape="0">
                  <a:srgbClr val="6E747A">
                    <a:alpha val="43000"/>
                  </a:srgbClr>
                </a:outerShdw>
              </a:effectLst>
            </a:rPr>
            <a:t>Forestry and Fishing</a:t>
          </a:r>
        </a:p>
        <a:p>
          <a:pPr algn="ctr"/>
          <a:r>
            <a:rPr lang="en-US" sz="5400" b="0" cap="none" spc="0">
              <a:ln w="0"/>
              <a:solidFill>
                <a:srgbClr val="00B050"/>
              </a:solidFill>
              <a:effectLst>
                <a:outerShdw blurRad="38100" dist="25400" dir="5400000" algn="ctr" rotWithShape="0">
                  <a:srgbClr val="6E747A">
                    <a:alpha val="43000"/>
                  </a:srgbClr>
                </a:outerShdw>
              </a:effectLst>
            </a:rPr>
            <a:t>2.1%</a:t>
          </a:r>
          <a:r>
            <a:rPr lang="en-US" sz="5400" b="0" cap="none" spc="0" baseline="0">
              <a:ln w="0"/>
              <a:solidFill>
                <a:schemeClr val="accent1"/>
              </a:solidFill>
              <a:effectLst>
                <a:outerShdw blurRad="38100" dist="25400" dir="5400000" algn="ctr" rotWithShape="0">
                  <a:srgbClr val="6E747A">
                    <a:alpha val="43000"/>
                  </a:srgbClr>
                </a:outerShdw>
              </a:effectLst>
            </a:rPr>
            <a:t> </a:t>
          </a:r>
          <a:r>
            <a:rPr lang="en-US" sz="2800" b="0" cap="none" spc="0" baseline="0">
              <a:ln w="0"/>
              <a:solidFill>
                <a:schemeClr val="accent1"/>
              </a:solidFill>
              <a:effectLst>
                <a:outerShdw blurRad="38100" dist="25400" dir="5400000" algn="ctr" rotWithShape="0">
                  <a:srgbClr val="6E747A">
                    <a:alpha val="43000"/>
                  </a:srgbClr>
                </a:outerShdw>
              </a:effectLst>
            </a:rPr>
            <a:t>of</a:t>
          </a:r>
          <a:r>
            <a:rPr lang="en-US" sz="5400" b="0" cap="none" spc="0" baseline="0">
              <a:ln w="0"/>
              <a:solidFill>
                <a:schemeClr val="accent1"/>
              </a:solidFill>
              <a:effectLst>
                <a:outerShdw blurRad="38100" dist="25400" dir="5400000" algn="ctr" rotWithShape="0">
                  <a:srgbClr val="6E747A">
                    <a:alpha val="43000"/>
                  </a:srgbClr>
                </a:outerShdw>
              </a:effectLst>
            </a:rPr>
            <a:t> GDP</a:t>
          </a:r>
          <a:endParaRPr lang="en-US" sz="5400" b="0" cap="none" spc="0">
            <a:ln w="0"/>
            <a:solidFill>
              <a:schemeClr val="accent1"/>
            </a:solidFill>
            <a:effectLst>
              <a:outerShdw blurRad="38100" dist="25400" dir="5400000" algn="ctr" rotWithShape="0">
                <a:srgbClr val="6E747A">
                  <a:alpha val="43000"/>
                </a:srgbClr>
              </a:outerShdw>
            </a:effectLst>
          </a:endParaRPr>
        </a:p>
      </xdr:txBody>
    </xdr:sp>
    <xdr:clientData/>
  </xdr:oneCellAnchor>
  <xdr:twoCellAnchor>
    <xdr:from>
      <xdr:col>10</xdr:col>
      <xdr:colOff>97343</xdr:colOff>
      <xdr:row>37</xdr:row>
      <xdr:rowOff>119616</xdr:rowOff>
    </xdr:from>
    <xdr:to>
      <xdr:col>16</xdr:col>
      <xdr:colOff>413501</xdr:colOff>
      <xdr:row>50</xdr:row>
      <xdr:rowOff>65783</xdr:rowOff>
    </xdr:to>
    <xdr:graphicFrame macro="">
      <xdr:nvGraphicFramePr>
        <xdr:cNvPr id="5" name="Chart 4" descr="Chart type: Area. 'Botswana&#10;%'&#10;&#10;Description automatically generated">
          <a:extLst>
            <a:ext uri="{FF2B5EF4-FFF2-40B4-BE49-F238E27FC236}">
              <a16:creationId xmlns:a16="http://schemas.microsoft.com/office/drawing/2014/main" id="{1983044C-8C88-4E97-ABEA-BCBDBF66E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54576</xdr:colOff>
      <xdr:row>15</xdr:row>
      <xdr:rowOff>131292</xdr:rowOff>
    </xdr:from>
    <xdr:to>
      <xdr:col>16</xdr:col>
      <xdr:colOff>357185</xdr:colOff>
      <xdr:row>26</xdr:row>
      <xdr:rowOff>118135</xdr:rowOff>
    </xdr:to>
    <xdr:sp macro="" textlink="">
      <xdr:nvSpPr>
        <xdr:cNvPr id="19" name="Rectangle: Rounded Corners 18">
          <a:extLst>
            <a:ext uri="{FF2B5EF4-FFF2-40B4-BE49-F238E27FC236}">
              <a16:creationId xmlns:a16="http://schemas.microsoft.com/office/drawing/2014/main" id="{74976C64-9F9F-D254-1CE3-227AA9BEB6E0}"/>
            </a:ext>
          </a:extLst>
        </xdr:cNvPr>
        <xdr:cNvSpPr/>
      </xdr:nvSpPr>
      <xdr:spPr>
        <a:xfrm>
          <a:off x="6351062" y="2950613"/>
          <a:ext cx="4080499" cy="2054346"/>
        </a:xfrm>
        <a:prstGeom prst="roundRect">
          <a:avLst/>
        </a:prstGeom>
        <a:solidFill>
          <a:schemeClr val="tx2">
            <a:lumMod val="50000"/>
          </a:schemeClr>
        </a:solidFill>
        <a:ln w="28575">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10</xdr:col>
      <xdr:colOff>269448</xdr:colOff>
      <xdr:row>18</xdr:row>
      <xdr:rowOff>90962</xdr:rowOff>
    </xdr:from>
    <xdr:to>
      <xdr:col>13</xdr:col>
      <xdr:colOff>401016</xdr:colOff>
      <xdr:row>18</xdr:row>
      <xdr:rowOff>90962</xdr:rowOff>
    </xdr:to>
    <xdr:cxnSp macro="">
      <xdr:nvCxnSpPr>
        <xdr:cNvPr id="12" name="Straight Connector 11">
          <a:extLst>
            <a:ext uri="{FF2B5EF4-FFF2-40B4-BE49-F238E27FC236}">
              <a16:creationId xmlns:a16="http://schemas.microsoft.com/office/drawing/2014/main" id="{2E56F8FC-4B2D-03F0-2FFB-7685C7928FD0}"/>
            </a:ext>
          </a:extLst>
        </xdr:cNvPr>
        <xdr:cNvCxnSpPr/>
      </xdr:nvCxnSpPr>
      <xdr:spPr>
        <a:xfrm>
          <a:off x="6565934" y="3474148"/>
          <a:ext cx="2020512" cy="0"/>
        </a:xfrm>
        <a:prstGeom prst="line">
          <a:avLst/>
        </a:prstGeom>
        <a:ln w="571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286897</xdr:colOff>
      <xdr:row>21</xdr:row>
      <xdr:rowOff>80892</xdr:rowOff>
    </xdr:from>
    <xdr:to>
      <xdr:col>13</xdr:col>
      <xdr:colOff>418465</xdr:colOff>
      <xdr:row>21</xdr:row>
      <xdr:rowOff>80892</xdr:rowOff>
    </xdr:to>
    <xdr:cxnSp macro="">
      <xdr:nvCxnSpPr>
        <xdr:cNvPr id="14" name="Straight Connector 13">
          <a:extLst>
            <a:ext uri="{FF2B5EF4-FFF2-40B4-BE49-F238E27FC236}">
              <a16:creationId xmlns:a16="http://schemas.microsoft.com/office/drawing/2014/main" id="{BF1C8804-B9E5-49F2-861A-A834314FEB19}"/>
            </a:ext>
          </a:extLst>
        </xdr:cNvPr>
        <xdr:cNvCxnSpPr/>
      </xdr:nvCxnSpPr>
      <xdr:spPr>
        <a:xfrm>
          <a:off x="6583383" y="4027942"/>
          <a:ext cx="2020512" cy="0"/>
        </a:xfrm>
        <a:prstGeom prst="line">
          <a:avLst/>
        </a:prstGeom>
        <a:ln w="57150">
          <a:solidFill>
            <a:srgbClr val="EB5D1D">
              <a:alpha val="74118"/>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624821</xdr:colOff>
      <xdr:row>17</xdr:row>
      <xdr:rowOff>21485</xdr:rowOff>
    </xdr:from>
    <xdr:to>
      <xdr:col>16</xdr:col>
      <xdr:colOff>201855</xdr:colOff>
      <xdr:row>20</xdr:row>
      <xdr:rowOff>37241</xdr:rowOff>
    </xdr:to>
    <xdr:sp macro="" textlink="">
      <xdr:nvSpPr>
        <xdr:cNvPr id="16" name="TextBox 15">
          <a:extLst>
            <a:ext uri="{FF2B5EF4-FFF2-40B4-BE49-F238E27FC236}">
              <a16:creationId xmlns:a16="http://schemas.microsoft.com/office/drawing/2014/main" id="{13D9AE93-F256-9DC9-477F-E1D41C066B2E}"/>
            </a:ext>
          </a:extLst>
        </xdr:cNvPr>
        <xdr:cNvSpPr txBox="1"/>
      </xdr:nvSpPr>
      <xdr:spPr>
        <a:xfrm>
          <a:off x="8810251" y="3216716"/>
          <a:ext cx="1465980" cy="57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400" b="1">
              <a:solidFill>
                <a:schemeClr val="bg1"/>
              </a:solidFill>
            </a:rPr>
            <a:t>Area Planted </a:t>
          </a:r>
        </a:p>
        <a:p>
          <a:r>
            <a:rPr lang="en-ZA" sz="1400" b="1">
              <a:solidFill>
                <a:schemeClr val="bg1"/>
              </a:solidFill>
            </a:rPr>
            <a:t>(*1000 hactres)</a:t>
          </a:r>
        </a:p>
      </xdr:txBody>
    </xdr:sp>
    <xdr:clientData/>
  </xdr:twoCellAnchor>
  <xdr:twoCellAnchor>
    <xdr:from>
      <xdr:col>13</xdr:col>
      <xdr:colOff>613454</xdr:colOff>
      <xdr:row>20</xdr:row>
      <xdr:rowOff>27126</xdr:rowOff>
    </xdr:from>
    <xdr:to>
      <xdr:col>16</xdr:col>
      <xdr:colOff>301517</xdr:colOff>
      <xdr:row>24</xdr:row>
      <xdr:rowOff>13969</xdr:rowOff>
    </xdr:to>
    <xdr:sp macro="" textlink="">
      <xdr:nvSpPr>
        <xdr:cNvPr id="17" name="TextBox 16">
          <a:extLst>
            <a:ext uri="{FF2B5EF4-FFF2-40B4-BE49-F238E27FC236}">
              <a16:creationId xmlns:a16="http://schemas.microsoft.com/office/drawing/2014/main" id="{F7667E4E-8C90-4A22-95AA-C58588177E61}"/>
            </a:ext>
          </a:extLst>
        </xdr:cNvPr>
        <xdr:cNvSpPr txBox="1"/>
      </xdr:nvSpPr>
      <xdr:spPr>
        <a:xfrm>
          <a:off x="8798884" y="3786222"/>
          <a:ext cx="1577009" cy="738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400" b="1">
              <a:solidFill>
                <a:schemeClr val="bg1"/>
              </a:solidFill>
            </a:rPr>
            <a:t>Area Harvested (*1000 hactres)</a:t>
          </a:r>
        </a:p>
      </xdr:txBody>
    </xdr:sp>
    <xdr:clientData/>
  </xdr:twoCellAnchor>
  <xdr:twoCellAnchor>
    <xdr:from>
      <xdr:col>10</xdr:col>
      <xdr:colOff>307729</xdr:colOff>
      <xdr:row>24</xdr:row>
      <xdr:rowOff>95548</xdr:rowOff>
    </xdr:from>
    <xdr:to>
      <xdr:col>13</xdr:col>
      <xdr:colOff>439297</xdr:colOff>
      <xdr:row>24</xdr:row>
      <xdr:rowOff>95548</xdr:rowOff>
    </xdr:to>
    <xdr:cxnSp macro="">
      <xdr:nvCxnSpPr>
        <xdr:cNvPr id="15" name="Straight Connector 14">
          <a:extLst>
            <a:ext uri="{FF2B5EF4-FFF2-40B4-BE49-F238E27FC236}">
              <a16:creationId xmlns:a16="http://schemas.microsoft.com/office/drawing/2014/main" id="{12D10B16-E678-4675-8F7B-2C63893849CC}"/>
            </a:ext>
          </a:extLst>
        </xdr:cNvPr>
        <xdr:cNvCxnSpPr/>
      </xdr:nvCxnSpPr>
      <xdr:spPr>
        <a:xfrm>
          <a:off x="6604215" y="4606462"/>
          <a:ext cx="2020512" cy="0"/>
        </a:xfrm>
        <a:prstGeom prst="line">
          <a:avLst/>
        </a:prstGeom>
        <a:ln w="57150">
          <a:solidFill>
            <a:srgbClr val="00FF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456801</xdr:colOff>
      <xdr:row>23</xdr:row>
      <xdr:rowOff>51490</xdr:rowOff>
    </xdr:from>
    <xdr:to>
      <xdr:col>16</xdr:col>
      <xdr:colOff>391016</xdr:colOff>
      <xdr:row>26</xdr:row>
      <xdr:rowOff>104118</xdr:rowOff>
    </xdr:to>
    <xdr:sp macro="" textlink="">
      <xdr:nvSpPr>
        <xdr:cNvPr id="18" name="TextBox 17">
          <a:extLst>
            <a:ext uri="{FF2B5EF4-FFF2-40B4-BE49-F238E27FC236}">
              <a16:creationId xmlns:a16="http://schemas.microsoft.com/office/drawing/2014/main" id="{DE518D7E-55FD-491A-B60C-AFAE27269AA5}"/>
            </a:ext>
          </a:extLst>
        </xdr:cNvPr>
        <xdr:cNvSpPr txBox="1"/>
      </xdr:nvSpPr>
      <xdr:spPr>
        <a:xfrm>
          <a:off x="8642231" y="4374450"/>
          <a:ext cx="1823161" cy="616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1400" b="1">
              <a:solidFill>
                <a:schemeClr val="bg1"/>
              </a:solidFill>
            </a:rPr>
            <a:t>Total Crop</a:t>
          </a:r>
          <a:r>
            <a:rPr lang="en-ZA" sz="1400" b="1" baseline="0">
              <a:solidFill>
                <a:schemeClr val="bg1"/>
              </a:solidFill>
            </a:rPr>
            <a:t> Production (*1000 metric Tons)</a:t>
          </a:r>
        </a:p>
        <a:p>
          <a:endParaRPr lang="en-ZA" sz="1400" b="1">
            <a:solidFill>
              <a:schemeClr val="bg1"/>
            </a:solidFill>
          </a:endParaRPr>
        </a:p>
      </xdr:txBody>
    </xdr:sp>
    <xdr:clientData/>
  </xdr:twoCellAnchor>
  <xdr:twoCellAnchor>
    <xdr:from>
      <xdr:col>10</xdr:col>
      <xdr:colOff>136326</xdr:colOff>
      <xdr:row>27</xdr:row>
      <xdr:rowOff>35037</xdr:rowOff>
    </xdr:from>
    <xdr:to>
      <xdr:col>16</xdr:col>
      <xdr:colOff>300728</xdr:colOff>
      <xdr:row>37</xdr:row>
      <xdr:rowOff>9397</xdr:rowOff>
    </xdr:to>
    <xdr:graphicFrame macro="">
      <xdr:nvGraphicFramePr>
        <xdr:cNvPr id="21" name="Chart 20">
          <a:extLst>
            <a:ext uri="{FF2B5EF4-FFF2-40B4-BE49-F238E27FC236}">
              <a16:creationId xmlns:a16="http://schemas.microsoft.com/office/drawing/2014/main" id="{3FC80672-92FD-494A-AD5E-53CEF3A2EA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140618</xdr:colOff>
      <xdr:row>4</xdr:row>
      <xdr:rowOff>149553</xdr:rowOff>
    </xdr:from>
    <xdr:to>
      <xdr:col>16</xdr:col>
      <xdr:colOff>319523</xdr:colOff>
      <xdr:row>14</xdr:row>
      <xdr:rowOff>159761</xdr:rowOff>
    </xdr:to>
    <xdr:graphicFrame macro="">
      <xdr:nvGraphicFramePr>
        <xdr:cNvPr id="22" name="Chart 21">
          <a:extLst>
            <a:ext uri="{FF2B5EF4-FFF2-40B4-BE49-F238E27FC236}">
              <a16:creationId xmlns:a16="http://schemas.microsoft.com/office/drawing/2014/main" id="{19E224FA-6BBB-4780-9CC5-81EE7ECE06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244341</xdr:colOff>
      <xdr:row>38</xdr:row>
      <xdr:rowOff>84581</xdr:rowOff>
    </xdr:from>
    <xdr:to>
      <xdr:col>9</xdr:col>
      <xdr:colOff>573261</xdr:colOff>
      <xdr:row>49</xdr:row>
      <xdr:rowOff>150363</xdr:rowOff>
    </xdr:to>
    <xdr:graphicFrame macro="">
      <xdr:nvGraphicFramePr>
        <xdr:cNvPr id="30" name="Chart 29">
          <a:extLst>
            <a:ext uri="{FF2B5EF4-FFF2-40B4-BE49-F238E27FC236}">
              <a16:creationId xmlns:a16="http://schemas.microsoft.com/office/drawing/2014/main" id="{C800C737-C3EA-4AAF-9CF7-558E03E8B1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laelo kgafela" refreshedDate="45107.445581712964" createdVersion="8" refreshedVersion="8" minRefreshableVersion="3" recordCount="34" xr:uid="{7372FB6F-B330-4971-B7DA-8835ED1D1E04}">
  <cacheSource type="worksheet">
    <worksheetSource ref="A2:N36" sheet="Sheet1"/>
  </cacheSource>
  <cacheFields count="15">
    <cacheField name="Column1" numFmtId="0">
      <sharedItems containsSemiMixedTypes="0" containsString="0" containsNumber="1" containsInteger="1" minValue="1980" maxValue="2019" count="34">
        <n v="1980"/>
        <n v="1981"/>
        <n v="1982"/>
        <n v="1983"/>
        <n v="1984"/>
        <n v="1985"/>
        <n v="1986"/>
        <n v="1987"/>
        <n v="1988"/>
        <n v="1989"/>
        <n v="1990"/>
        <n v="1993"/>
        <n v="1995"/>
        <n v="1996"/>
        <n v="1997"/>
        <n v="1998"/>
        <n v="1999"/>
        <n v="2000"/>
        <n v="2001"/>
        <n v="2002"/>
        <n v="2003"/>
        <n v="2004"/>
        <n v="2006"/>
        <n v="2007"/>
        <n v="2008"/>
        <n v="2009"/>
        <n v="2010"/>
        <n v="2011"/>
        <n v="2012"/>
        <n v="2013"/>
        <n v="2014"/>
        <n v="2015"/>
        <n v="2017"/>
        <n v="2019"/>
      </sharedItems>
    </cacheField>
    <cacheField name="Column2" numFmtId="0">
      <sharedItems containsSemiMixedTypes="0" containsString="0" containsNumber="1" minValue="17" maxValue="245.7"/>
    </cacheField>
    <cacheField name="Column3" numFmtId="0">
      <sharedItems containsSemiMixedTypes="0" containsString="0" containsNumber="1" minValue="5" maxValue="219.4"/>
    </cacheField>
    <cacheField name="Column4" numFmtId="0">
      <sharedItems containsSemiMixedTypes="0" containsString="0" containsNumber="1" minValue="0.82599999999999996" maxValue="113.547"/>
    </cacheField>
    <cacheField name="Column5" numFmtId="0">
      <sharedItems containsSemiMixedTypes="0" containsString="0" containsNumber="1" minValue="37.299999999999997" maxValue="151"/>
    </cacheField>
    <cacheField name="Column6" numFmtId="0">
      <sharedItems containsSemiMixedTypes="0" containsString="0" containsNumber="1" minValue="3" maxValue="104"/>
    </cacheField>
    <cacheField name="Column7" numFmtId="0">
      <sharedItems containsSemiMixedTypes="0" containsString="0" containsNumber="1" minValue="0.215" maxValue="29.234999999999999"/>
    </cacheField>
    <cacheField name="Column8" numFmtId="0">
      <sharedItems containsSemiMixedTypes="0" containsString="0" containsNumber="1" minValue="3" maxValue="20.3"/>
    </cacheField>
    <cacheField name="Column9" numFmtId="0">
      <sharedItems containsSemiMixedTypes="0" containsString="0" containsNumber="1" minValue="0" maxValue="14"/>
    </cacheField>
    <cacheField name="Column10" numFmtId="0">
      <sharedItems containsSemiMixedTypes="0" containsString="0" containsNumber="1" minValue="5.3999999999999999E-2" maxValue="19.39"/>
    </cacheField>
    <cacheField name="Column11" numFmtId="0">
      <sharedItems containsSemiMixedTypes="0" containsString="0" containsNumber="1" minValue="11" maxValue="77"/>
    </cacheField>
    <cacheField name="Column12" numFmtId="0">
      <sharedItems containsSemiMixedTypes="0" containsString="0" containsNumber="1" minValue="2.2000000000000002" maxValue="65"/>
    </cacheField>
    <cacheField name="Column13" numFmtId="0">
      <sharedItems containsSemiMixedTypes="0" containsString="0" containsNumber="1" minValue="0.28499999999999998" maxValue="10.180999999999999"/>
    </cacheField>
    <cacheField name="Botswana_x000a_%" numFmtId="0">
      <sharedItems containsSemiMixedTypes="0" containsString="0" containsNumber="1" minValue="1.738935094243008" maxValue="12.703899096476867"/>
    </cacheField>
    <cacheField name="South_x000a_Africa %" numFmtId="0">
      <sharedItems containsSemiMixedTypes="0" containsString="0" containsNumber="1" minValue="1.9268492459719893" maxValue="5.4319235615801515"/>
    </cacheField>
  </cacheFields>
  <extLst>
    <ext xmlns:x14="http://schemas.microsoft.com/office/spreadsheetml/2009/9/main" uri="{725AE2AE-9491-48be-B2B4-4EB974FC3084}">
      <x14:pivotCacheDefinition pivotCacheId="18262467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laelo kgafela" refreshedDate="45108.762013657404" createdVersion="8" refreshedVersion="8" minRefreshableVersion="3" recordCount="34" xr:uid="{11222141-6539-4A59-9457-853818D36BF8}">
  <cacheSource type="worksheet">
    <worksheetSource ref="A2:M36" sheet="Sheet1"/>
  </cacheSource>
  <cacheFields count="13">
    <cacheField name="Year" numFmtId="0">
      <sharedItems containsSemiMixedTypes="0" containsString="0" containsNumber="1" containsInteger="1" minValue="1980" maxValue="2019" count="34">
        <n v="1980"/>
        <n v="1981"/>
        <n v="1982"/>
        <n v="1983"/>
        <n v="1984"/>
        <n v="1985"/>
        <n v="1986"/>
        <n v="1987"/>
        <n v="1988"/>
        <n v="1989"/>
        <n v="1990"/>
        <n v="1993"/>
        <n v="1995"/>
        <n v="1996"/>
        <n v="1997"/>
        <n v="1998"/>
        <n v="1999"/>
        <n v="2000"/>
        <n v="2001"/>
        <n v="2002"/>
        <n v="2003"/>
        <n v="2004"/>
        <n v="2006"/>
        <n v="2007"/>
        <n v="2008"/>
        <n v="2009"/>
        <n v="2010"/>
        <n v="2011"/>
        <n v="2012"/>
        <n v="2013"/>
        <n v="2014"/>
        <n v="2015"/>
        <n v="2017"/>
        <n v="2019"/>
      </sharedItems>
    </cacheField>
    <cacheField name="Area _x000a_Planted_x000a_(*1000_x000a_hactres)" numFmtId="0">
      <sharedItems containsSemiMixedTypes="0" containsString="0" containsNumber="1" minValue="17" maxValue="245.7"/>
    </cacheField>
    <cacheField name="Area_x000a_Harvested_x000a_(*1000 hactres)" numFmtId="0">
      <sharedItems containsSemiMixedTypes="0" containsString="0" containsNumber="1" minValue="5" maxValue="219.4"/>
    </cacheField>
    <cacheField name="Total _x000a_Crop Productio_x000a_(*1000 hactres)" numFmtId="0">
      <sharedItems containsSemiMixedTypes="0" containsString="0" containsNumber="1" minValue="0.82599999999999996" maxValue="113.547"/>
    </cacheField>
    <cacheField name="Area _x000a_Planted_x000a_(*1000_x000a_hactres)2" numFmtId="0">
      <sharedItems containsSemiMixedTypes="0" containsString="0" containsNumber="1" minValue="37.299999999999997" maxValue="151"/>
    </cacheField>
    <cacheField name="Area_x000a_Harvested_x000a_(*1000 hactres)2" numFmtId="0">
      <sharedItems containsSemiMixedTypes="0" containsString="0" containsNumber="1" minValue="3" maxValue="104"/>
    </cacheField>
    <cacheField name="Total _x000a_Crop Productio_x000a_(*1000 hactres)2" numFmtId="0">
      <sharedItems containsSemiMixedTypes="0" containsString="0" containsNumber="1" minValue="0.215" maxValue="29.234999999999999"/>
    </cacheField>
    <cacheField name="Area _x000a_Planted_x000a_(*1000_x000a_hactres)3" numFmtId="0">
      <sharedItems containsSemiMixedTypes="0" containsString="0" containsNumber="1" minValue="3" maxValue="20.3"/>
    </cacheField>
    <cacheField name="Area_x000a_Harvested_x000a_(*1000 hactres)3" numFmtId="0">
      <sharedItems containsSemiMixedTypes="0" containsString="0" containsNumber="1" minValue="0" maxValue="14"/>
    </cacheField>
    <cacheField name="Total _x000a_Crop Productio_x000a_(*1000 hactres)3" numFmtId="0">
      <sharedItems containsSemiMixedTypes="0" containsString="0" containsNumber="1" minValue="5.3999999999999999E-2" maxValue="19.39"/>
    </cacheField>
    <cacheField name="Area _x000a_Planted_x000a_(*1000_x000a_hactres)4" numFmtId="0">
      <sharedItems containsSemiMixedTypes="0" containsString="0" containsNumber="1" minValue="11" maxValue="77"/>
    </cacheField>
    <cacheField name="Area_x000a_Harvested_x000a_(*1000 hactres)4" numFmtId="0">
      <sharedItems containsSemiMixedTypes="0" containsString="0" containsNumber="1" minValue="2.2000000000000002" maxValue="34"/>
    </cacheField>
    <cacheField name="Total _x000a_Crop Productio_x000a_(*1000 hactres)4" numFmtId="0">
      <sharedItems containsSemiMixedTypes="0" containsString="0" containsNumber="1" minValue="0.28499999999999998" maxValue="10.180999999999999"/>
    </cacheField>
  </cacheFields>
  <extLst>
    <ext xmlns:x14="http://schemas.microsoft.com/office/spreadsheetml/2009/9/main" uri="{725AE2AE-9491-48be-B2B4-4EB974FC3084}">
      <x14:pivotCacheDefinition pivotCacheId="9248498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n v="147"/>
    <n v="131"/>
    <n v="29"/>
    <n v="80"/>
    <n v="47"/>
    <n v="12"/>
    <n v="17"/>
    <n v="14"/>
    <n v="3"/>
    <n v="24"/>
    <n v="13"/>
    <n v="2"/>
    <n v="12.703899096476867"/>
    <n v="5.3046512629780151"/>
  </r>
  <r>
    <x v="1"/>
    <n v="141"/>
    <n v="123"/>
    <n v="28"/>
    <n v="87"/>
    <n v="59"/>
    <n v="22"/>
    <n v="20"/>
    <n v="13"/>
    <n v="2"/>
    <n v="26"/>
    <n v="15"/>
    <n v="3"/>
    <n v="12.370617696160267"/>
    <n v="5.4319235615801515"/>
  </r>
  <r>
    <x v="2"/>
    <n v="93"/>
    <n v="37"/>
    <n v="4"/>
    <n v="64"/>
    <n v="24"/>
    <n v="13"/>
    <n v="16"/>
    <n v="4"/>
    <n v="0.5"/>
    <n v="20"/>
    <n v="4"/>
    <n v="0.5"/>
    <n v="10.27223577819243"/>
    <n v="4.7021741927183847"/>
  </r>
  <r>
    <x v="3"/>
    <n v="126"/>
    <n v="35"/>
    <n v="5"/>
    <n v="61"/>
    <n v="20"/>
    <n v="9"/>
    <n v="17"/>
    <n v="6"/>
    <n v="0.5"/>
    <n v="22"/>
    <n v="3"/>
    <n v="0.3"/>
    <n v="7.9713807986934713"/>
    <n v="3.6536326401134529"/>
  </r>
  <r>
    <x v="4"/>
    <n v="114"/>
    <n v="49"/>
    <n v="6"/>
    <n v="48"/>
    <n v="3"/>
    <n v="0.5"/>
    <n v="17"/>
    <n v="8"/>
    <n v="0.7"/>
    <n v="17"/>
    <n v="3"/>
    <n v="0.4"/>
    <n v="6.8930200800720032"/>
    <n v="3.9574464686479192"/>
  </r>
  <r>
    <x v="5"/>
    <n v="125"/>
    <n v="83"/>
    <n v="15"/>
    <n v="49"/>
    <n v="8"/>
    <n v="1.5"/>
    <n v="16"/>
    <n v="10"/>
    <n v="1.8"/>
    <n v="15"/>
    <n v="3"/>
    <n v="0.4"/>
    <n v="5.9218746316509119"/>
    <n v="4.2858435600971747"/>
  </r>
  <r>
    <x v="6"/>
    <n v="152.9"/>
    <n v="90.4"/>
    <n v="11.33"/>
    <n v="41.6"/>
    <n v="7.6"/>
    <n v="1.91"/>
    <n v="17.399999999999999"/>
    <n v="10.1"/>
    <n v="1.29"/>
    <n v="15.7"/>
    <n v="5"/>
    <n v="0.49"/>
    <n v="5.2867897130192212"/>
    <n v="4.1200825686978728"/>
  </r>
  <r>
    <x v="7"/>
    <n v="194.7"/>
    <n v="102.6"/>
    <n v="11.135"/>
    <n v="43.3"/>
    <n v="3.2"/>
    <n v="0.215"/>
    <n v="14"/>
    <n v="5.4"/>
    <n v="0.36"/>
    <n v="14.9"/>
    <n v="2.2000000000000002"/>
    <n v="0.28499999999999998"/>
    <n v="6.2448855887255643"/>
    <n v="4.6263037395064872"/>
  </r>
  <r>
    <x v="8"/>
    <n v="245.7"/>
    <n v="219.4"/>
    <n v="69.34"/>
    <n v="37.299999999999997"/>
    <n v="29.9"/>
    <n v="4.84"/>
    <n v="13"/>
    <n v="9"/>
    <n v="2.8650000000000002"/>
    <n v="17.100000000000001"/>
    <n v="9.9"/>
    <n v="1.7250000000000001"/>
    <n v="5.6319533479465651"/>
    <n v="4.7680085283516931"/>
  </r>
  <r>
    <x v="9"/>
    <n v="237.1"/>
    <n v="183.8"/>
    <n v="34.93"/>
    <n v="76"/>
    <n v="45"/>
    <n v="9.7650000000000006"/>
    <n v="20.3"/>
    <n v="11.4"/>
    <n v="1.94"/>
    <n v="28.2"/>
    <n v="15.5"/>
    <n v="2.0750000000000002"/>
    <n v="4.6969928623733619"/>
    <n v="4.3991601827837474"/>
  </r>
  <r>
    <x v="10"/>
    <n v="206"/>
    <n v="153"/>
    <n v="38.200000000000003"/>
    <n v="80"/>
    <n v="41"/>
    <n v="12"/>
    <n v="12"/>
    <n v="9"/>
    <n v="1.7"/>
    <n v="20"/>
    <n v="12"/>
    <n v="2"/>
    <n v="4.5261508575155798"/>
    <n v="3.7770561775014024"/>
  </r>
  <r>
    <x v="11"/>
    <n v="144"/>
    <n v="66"/>
    <n v="10.797000000000001"/>
    <n v="85"/>
    <n v="22"/>
    <n v="2.976"/>
    <n v="15"/>
    <n v="11"/>
    <n v="1.6240000000000001"/>
    <n v="27"/>
    <n v="9"/>
    <n v="0.53"/>
    <n v="4.5211925631218497"/>
    <n v="3.4225746261341339"/>
  </r>
  <r>
    <x v="12"/>
    <n v="166"/>
    <n v="106"/>
    <n v="113.547"/>
    <n v="86"/>
    <n v="20"/>
    <n v="18.952999999999999"/>
    <n v="14"/>
    <n v="7"/>
    <n v="19.39"/>
    <n v="26"/>
    <n v="10"/>
    <n v="10.180999999999999"/>
    <n v="4.637720943709871"/>
    <n v="3.1215852459601265"/>
  </r>
  <r>
    <x v="13"/>
    <n v="191"/>
    <n v="164"/>
    <n v="59.2"/>
    <n v="134"/>
    <n v="100"/>
    <n v="24.629000000000001"/>
    <n v="11"/>
    <n v="9"/>
    <n v="2.508"/>
    <n v="36"/>
    <n v="25"/>
    <n v="3.9140000000000001"/>
    <n v="3.6909940489857211"/>
    <n v="3.4165882448088922"/>
  </r>
  <r>
    <x v="14"/>
    <n v="154"/>
    <n v="64"/>
    <n v="13.45"/>
    <n v="117"/>
    <n v="79"/>
    <n v="22.646999999999998"/>
    <n v="11"/>
    <n v="8"/>
    <n v="1.357"/>
    <n v="77"/>
    <n v="34"/>
    <n v="4.4669999999999996"/>
    <n v="3.5427056166042843"/>
    <n v="3.2658954988759974"/>
  </r>
  <r>
    <x v="15"/>
    <n v="65"/>
    <n v="27"/>
    <n v="3.56"/>
    <n v="88"/>
    <n v="24"/>
    <n v="2.2330000000000001"/>
    <n v="9"/>
    <n v="5"/>
    <n v="0.50700000000000001"/>
    <n v="32"/>
    <n v="13"/>
    <n v="1.19"/>
    <n v="3.1668642560758742"/>
    <n v="3.0341804439618469"/>
  </r>
  <r>
    <x v="16"/>
    <n v="114"/>
    <n v="45"/>
    <n v="5.3540000000000001"/>
    <n v="123"/>
    <n v="34"/>
    <n v="3.7519999999999998"/>
    <n v="8"/>
    <n v="5"/>
    <n v="0.86"/>
    <n v="38"/>
    <n v="11"/>
    <n v="1.3460000000000001"/>
    <n v="2.9907654940184689"/>
    <n v="2.8463991728120122"/>
  </r>
  <r>
    <x v="17"/>
    <n v="106"/>
    <n v="53"/>
    <n v="12.670999999999999"/>
    <n v="123"/>
    <n v="78"/>
    <n v="19.962"/>
    <n v="5"/>
    <n v="3"/>
    <n v="0.439"/>
    <n v="35"/>
    <n v="22"/>
    <n v="4.1020000000000003"/>
    <n v="2.7946997890345369"/>
    <n v="2.6147479932776783"/>
  </r>
  <r>
    <x v="18"/>
    <n v="23"/>
    <n v="13"/>
    <n v="1.583"/>
    <n v="48"/>
    <n v="25"/>
    <n v="4.976"/>
    <n v="3"/>
    <n v="2"/>
    <n v="0.47199999999999998"/>
    <n v="15"/>
    <n v="8"/>
    <n v="1.28"/>
    <n v="2.5902906202539144"/>
    <n v="2.812451694552399"/>
  </r>
  <r>
    <x v="19"/>
    <n v="66"/>
    <n v="31"/>
    <n v="15.805"/>
    <n v="95"/>
    <n v="35"/>
    <n v="16.446999999999999"/>
    <n v="3"/>
    <n v="0"/>
    <n v="5.3999999999999999E-2"/>
    <n v="30"/>
    <n v="11"/>
    <n v="1.907"/>
    <n v="2.4256159925615992"/>
    <n v="2.9569718254908404"/>
  </r>
  <r>
    <x v="20"/>
    <n v="25"/>
    <n v="5"/>
    <n v="23.501000000000001"/>
    <n v="38"/>
    <n v="8"/>
    <n v="1.633"/>
    <n v="3"/>
    <n v="1"/>
    <n v="9.0999999999999998E-2"/>
    <n v="11"/>
    <n v="3"/>
    <n v="0.46"/>
    <n v="2.7223869552226621"/>
    <n v="2.6539775287002123"/>
  </r>
  <r>
    <x v="21"/>
    <n v="48.454000000000001"/>
    <n v="38.523000000000003"/>
    <n v="10.516"/>
    <n v="62.664000000000001"/>
    <n v="42.621000000000002"/>
    <n v="7.2169999999999996"/>
    <n v="7.077"/>
    <n v="6.391"/>
    <n v="2.681"/>
    <n v="14.957000000000001"/>
    <n v="7.5039999999999996"/>
    <n v="2.0299999999999998"/>
    <n v="2.2595853495910205"/>
    <n v="2.4117161148620037"/>
  </r>
  <r>
    <x v="22"/>
    <n v="58"/>
    <n v="46"/>
    <n v="12.369"/>
    <n v="78"/>
    <n v="60"/>
    <n v="14.896000000000001"/>
    <n v="7"/>
    <n v="6"/>
    <n v="3.2010000000000001"/>
    <n v="23"/>
    <n v="16"/>
    <n v="4.9180000000000001"/>
    <n v="1.738935094243008"/>
    <n v="2.0509765123846444"/>
  </r>
  <r>
    <x v="23"/>
    <n v="33.290999999999997"/>
    <n v="7.0919999999999996"/>
    <n v="11.773999999999999"/>
    <n v="40.75"/>
    <n v="8.3940000000000001"/>
    <n v="2.149"/>
    <n v="6.01"/>
    <n v="2.33"/>
    <n v="0.53200000000000003"/>
    <n v="18.634"/>
    <n v="3.7320000000000002"/>
    <n v="0.80300000000000005"/>
    <n v="1.9266843575501542"/>
    <n v="2.3559140050425595"/>
  </r>
  <r>
    <x v="24"/>
    <n v="73.159000000000006"/>
    <n v="42.914000000000001"/>
    <n v="23.632999999999999"/>
    <n v="88.614000000000004"/>
    <n v="48.662999999999997"/>
    <n v="8.9670000000000005"/>
    <n v="11.348000000000001"/>
    <n v="7.65"/>
    <n v="1.637"/>
    <n v="29.545000000000002"/>
    <n v="13.938000000000001"/>
    <n v="2.3050000000000002"/>
    <n v="2.1400702761033656"/>
    <n v="2.5724887669648893"/>
  </r>
  <r>
    <x v="25"/>
    <n v="76.382999999999996"/>
    <n v="58.661000000000001"/>
    <n v="29.577000000000002"/>
    <n v="118.932"/>
    <n v="82.71"/>
    <n v="20.091999999999999"/>
    <n v="9.8010000000000002"/>
    <n v="8.1359999999999992"/>
    <n v="2.7669999999999999"/>
    <n v="31.524999999999999"/>
    <n v="19.585000000000001"/>
    <n v="4.3129999999999997"/>
    <n v="2.3759841962596266"/>
    <n v="2.3994961348775532"/>
  </r>
  <r>
    <x v="26"/>
    <n v="75.328999999999994"/>
    <n v="57.475000000000001"/>
    <n v="32.767000000000003"/>
    <n v="110.081"/>
    <n v="65.388000000000005"/>
    <n v="10.571999999999999"/>
    <n v="10.842000000000001"/>
    <n v="9.4760000000000009"/>
    <n v="3.4060000000000001"/>
    <n v="27.849"/>
    <n v="16.995000000000001"/>
    <n v="3.8730000000000002"/>
    <n v="2.0910409188325034"/>
    <n v="2.1077874931415792"/>
  </r>
  <r>
    <x v="27"/>
    <n v="70"/>
    <n v="49"/>
    <n v="32.591000000000001"/>
    <n v="151"/>
    <n v="101"/>
    <n v="29.234999999999999"/>
    <n v="13"/>
    <n v="11"/>
    <n v="2.5110000000000001"/>
    <n v="29"/>
    <n v="20"/>
    <n v="4.7"/>
    <n v="2.1189230068096188"/>
    <n v="2.0438930862029685"/>
  </r>
  <r>
    <x v="28"/>
    <n v="52"/>
    <n v="24"/>
    <n v="24.021000000000001"/>
    <n v="141"/>
    <n v="56"/>
    <n v="7.6769999999999996"/>
    <n v="10"/>
    <n v="7"/>
    <n v="1.9590000000000001"/>
    <n v="31"/>
    <n v="12"/>
    <n v="2.2850000000000001"/>
    <n v="2.3148110827157962"/>
    <n v="1.9767095954636118"/>
  </r>
  <r>
    <x v="29"/>
    <n v="62"/>
    <n v="34"/>
    <n v="10.231"/>
    <n v="124"/>
    <n v="44"/>
    <n v="3.8439999999999999"/>
    <n v="12"/>
    <n v="8"/>
    <n v="1.391"/>
    <n v="36"/>
    <n v="16"/>
    <n v="3.6549999999999998"/>
    <n v="1.9935432232723445"/>
    <n v="1.9268492459719893"/>
  </r>
  <r>
    <x v="30"/>
    <n v="65"/>
    <n v="50"/>
    <n v="14.31"/>
    <n v="130"/>
    <n v="104"/>
    <n v="28.55"/>
    <n v="8"/>
    <n v="7"/>
    <n v="3.3980000000000001"/>
    <n v="37"/>
    <n v="25"/>
    <n v="6.8259999999999996"/>
    <n v="1.8195983525325894"/>
    <n v="2.1257485486993635"/>
  </r>
  <r>
    <x v="31"/>
    <n v="23"/>
    <n v="8"/>
    <n v="35.508000000000003"/>
    <n v="62"/>
    <n v="13"/>
    <n v="3.7919999999999998"/>
    <n v="5"/>
    <n v="3"/>
    <n v="0.55500000000000005"/>
    <n v="23"/>
    <n v="65"/>
    <n v="7.1870000000000003"/>
    <n v="1.9477648675882884"/>
    <n v="2.2339783904591188"/>
  </r>
  <r>
    <x v="32"/>
    <n v="24"/>
    <n v="17"/>
    <n v="5.9749999999999996"/>
    <n v="62"/>
    <n v="51"/>
    <n v="13.911"/>
    <n v="3"/>
    <n v="3"/>
    <n v="1.099"/>
    <n v="27"/>
    <n v="16"/>
    <n v="2.3479999999999999"/>
    <n v="1.8419939490754045"/>
    <n v="2.4937986384976569"/>
  </r>
  <r>
    <x v="33"/>
    <n v="17"/>
    <n v="5"/>
    <n v="0.82599999999999996"/>
    <n v="39"/>
    <n v="7"/>
    <n v="0.98699999999999999"/>
    <n v="3"/>
    <n v="2"/>
    <n v="0.313"/>
    <n v="19"/>
    <n v="6"/>
    <n v="0.58299999999999996"/>
    <n v="2.0871641141501707"/>
    <n v="1.9621379880841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n v="147"/>
    <n v="131"/>
    <n v="29"/>
    <n v="80"/>
    <n v="47"/>
    <n v="12"/>
    <n v="17"/>
    <n v="14"/>
    <n v="3"/>
    <n v="24"/>
    <n v="13"/>
    <n v="2"/>
  </r>
  <r>
    <x v="1"/>
    <n v="141"/>
    <n v="123"/>
    <n v="28"/>
    <n v="87"/>
    <n v="59"/>
    <n v="22"/>
    <n v="20"/>
    <n v="13"/>
    <n v="2"/>
    <n v="26"/>
    <n v="15"/>
    <n v="3"/>
  </r>
  <r>
    <x v="2"/>
    <n v="93"/>
    <n v="37"/>
    <n v="4"/>
    <n v="64"/>
    <n v="24"/>
    <n v="13"/>
    <n v="16"/>
    <n v="4"/>
    <n v="0.5"/>
    <n v="20"/>
    <n v="4"/>
    <n v="0.5"/>
  </r>
  <r>
    <x v="3"/>
    <n v="126"/>
    <n v="35"/>
    <n v="5"/>
    <n v="61"/>
    <n v="20"/>
    <n v="9"/>
    <n v="17"/>
    <n v="6"/>
    <n v="0.5"/>
    <n v="22"/>
    <n v="3"/>
    <n v="0.3"/>
  </r>
  <r>
    <x v="4"/>
    <n v="114"/>
    <n v="49"/>
    <n v="6"/>
    <n v="48"/>
    <n v="3"/>
    <n v="0.5"/>
    <n v="17"/>
    <n v="8"/>
    <n v="0.7"/>
    <n v="17"/>
    <n v="3"/>
    <n v="0.4"/>
  </r>
  <r>
    <x v="5"/>
    <n v="125"/>
    <n v="83"/>
    <n v="15"/>
    <n v="49"/>
    <n v="8"/>
    <n v="1.5"/>
    <n v="16"/>
    <n v="10"/>
    <n v="1.8"/>
    <n v="15"/>
    <n v="3"/>
    <n v="0.4"/>
  </r>
  <r>
    <x v="6"/>
    <n v="152.9"/>
    <n v="90.4"/>
    <n v="11.33"/>
    <n v="41.6"/>
    <n v="7.6"/>
    <n v="1.91"/>
    <n v="17.399999999999999"/>
    <n v="10.1"/>
    <n v="1.29"/>
    <n v="15.7"/>
    <n v="5"/>
    <n v="0.49"/>
  </r>
  <r>
    <x v="7"/>
    <n v="194.7"/>
    <n v="102.6"/>
    <n v="11.135"/>
    <n v="43.3"/>
    <n v="3.2"/>
    <n v="0.215"/>
    <n v="14"/>
    <n v="5.4"/>
    <n v="0.36"/>
    <n v="14.9"/>
    <n v="2.2000000000000002"/>
    <n v="0.28499999999999998"/>
  </r>
  <r>
    <x v="8"/>
    <n v="245.7"/>
    <n v="219.4"/>
    <n v="69.34"/>
    <n v="37.299999999999997"/>
    <n v="29.9"/>
    <n v="4.84"/>
    <n v="13"/>
    <n v="9"/>
    <n v="2.8650000000000002"/>
    <n v="17.100000000000001"/>
    <n v="9.9"/>
    <n v="1.7250000000000001"/>
  </r>
  <r>
    <x v="9"/>
    <n v="237.1"/>
    <n v="183.8"/>
    <n v="34.93"/>
    <n v="76"/>
    <n v="45"/>
    <n v="9.7650000000000006"/>
    <n v="20.3"/>
    <n v="11.4"/>
    <n v="1.94"/>
    <n v="28.2"/>
    <n v="15.5"/>
    <n v="2.0750000000000002"/>
  </r>
  <r>
    <x v="10"/>
    <n v="206"/>
    <n v="153"/>
    <n v="38.200000000000003"/>
    <n v="80"/>
    <n v="41"/>
    <n v="12"/>
    <n v="12"/>
    <n v="9"/>
    <n v="1.7"/>
    <n v="20"/>
    <n v="12"/>
    <n v="2"/>
  </r>
  <r>
    <x v="11"/>
    <n v="144"/>
    <n v="66"/>
    <n v="10.797000000000001"/>
    <n v="85"/>
    <n v="22"/>
    <n v="2.976"/>
    <n v="15"/>
    <n v="11"/>
    <n v="1.6240000000000001"/>
    <n v="27"/>
    <n v="9"/>
    <n v="0.53"/>
  </r>
  <r>
    <x v="12"/>
    <n v="166"/>
    <n v="106"/>
    <n v="113.547"/>
    <n v="86"/>
    <n v="20"/>
    <n v="18.952999999999999"/>
    <n v="14"/>
    <n v="7"/>
    <n v="19.39"/>
    <n v="26"/>
    <n v="10"/>
    <n v="10.180999999999999"/>
  </r>
  <r>
    <x v="13"/>
    <n v="191"/>
    <n v="164"/>
    <n v="59.2"/>
    <n v="134"/>
    <n v="100"/>
    <n v="24.629000000000001"/>
    <n v="11"/>
    <n v="9"/>
    <n v="2.508"/>
    <n v="36"/>
    <n v="25"/>
    <n v="3.9140000000000001"/>
  </r>
  <r>
    <x v="14"/>
    <n v="154"/>
    <n v="64"/>
    <n v="13.45"/>
    <n v="117"/>
    <n v="79"/>
    <n v="22.646999999999998"/>
    <n v="11"/>
    <n v="8"/>
    <n v="1.357"/>
    <n v="77"/>
    <n v="34"/>
    <n v="4.4669999999999996"/>
  </r>
  <r>
    <x v="15"/>
    <n v="65"/>
    <n v="27"/>
    <n v="3.56"/>
    <n v="88"/>
    <n v="24"/>
    <n v="2.2330000000000001"/>
    <n v="9"/>
    <n v="5"/>
    <n v="0.50700000000000001"/>
    <n v="32"/>
    <n v="13"/>
    <n v="1.19"/>
  </r>
  <r>
    <x v="16"/>
    <n v="114"/>
    <n v="45"/>
    <n v="5.3540000000000001"/>
    <n v="123"/>
    <n v="34"/>
    <n v="3.7519999999999998"/>
    <n v="8"/>
    <n v="5"/>
    <n v="0.86"/>
    <n v="38"/>
    <n v="11"/>
    <n v="1.3460000000000001"/>
  </r>
  <r>
    <x v="17"/>
    <n v="106"/>
    <n v="53"/>
    <n v="12.670999999999999"/>
    <n v="123"/>
    <n v="78"/>
    <n v="19.962"/>
    <n v="5"/>
    <n v="3"/>
    <n v="0.439"/>
    <n v="35"/>
    <n v="22"/>
    <n v="4.1020000000000003"/>
  </r>
  <r>
    <x v="18"/>
    <n v="23"/>
    <n v="13"/>
    <n v="1.583"/>
    <n v="48"/>
    <n v="25"/>
    <n v="4.976"/>
    <n v="3"/>
    <n v="2"/>
    <n v="0.47199999999999998"/>
    <n v="15"/>
    <n v="8"/>
    <n v="1.28"/>
  </r>
  <r>
    <x v="19"/>
    <n v="66"/>
    <n v="31"/>
    <n v="15.805"/>
    <n v="95"/>
    <n v="35"/>
    <n v="16.446999999999999"/>
    <n v="3"/>
    <n v="0"/>
    <n v="5.3999999999999999E-2"/>
    <n v="30"/>
    <n v="11"/>
    <n v="1.907"/>
  </r>
  <r>
    <x v="20"/>
    <n v="25"/>
    <n v="5"/>
    <n v="23.501000000000001"/>
    <n v="38"/>
    <n v="8"/>
    <n v="1.633"/>
    <n v="3"/>
    <n v="1"/>
    <n v="9.0999999999999998E-2"/>
    <n v="11"/>
    <n v="3"/>
    <n v="0.46"/>
  </r>
  <r>
    <x v="21"/>
    <n v="48.454000000000001"/>
    <n v="38.523000000000003"/>
    <n v="10.516"/>
    <n v="62.664000000000001"/>
    <n v="42.621000000000002"/>
    <n v="7.2169999999999996"/>
    <n v="7.077"/>
    <n v="6.391"/>
    <n v="2.681"/>
    <n v="14.957000000000001"/>
    <n v="7.5039999999999996"/>
    <n v="2.0299999999999998"/>
  </r>
  <r>
    <x v="22"/>
    <n v="58"/>
    <n v="46"/>
    <n v="12.369"/>
    <n v="78"/>
    <n v="60"/>
    <n v="14.896000000000001"/>
    <n v="7"/>
    <n v="6"/>
    <n v="3.2010000000000001"/>
    <n v="23"/>
    <n v="16"/>
    <n v="4.9180000000000001"/>
  </r>
  <r>
    <x v="23"/>
    <n v="33.290999999999997"/>
    <n v="7.0919999999999996"/>
    <n v="11.773999999999999"/>
    <n v="40.75"/>
    <n v="8.3940000000000001"/>
    <n v="2.149"/>
    <n v="6.01"/>
    <n v="2.33"/>
    <n v="0.53200000000000003"/>
    <n v="18.634"/>
    <n v="3.7320000000000002"/>
    <n v="0.80300000000000005"/>
  </r>
  <r>
    <x v="24"/>
    <n v="73.159000000000006"/>
    <n v="42.914000000000001"/>
    <n v="23.632999999999999"/>
    <n v="88.614000000000004"/>
    <n v="48.662999999999997"/>
    <n v="8.9670000000000005"/>
    <n v="11.348000000000001"/>
    <n v="7.65"/>
    <n v="1.637"/>
    <n v="29.545000000000002"/>
    <n v="13.938000000000001"/>
    <n v="2.3050000000000002"/>
  </r>
  <r>
    <x v="25"/>
    <n v="76.382999999999996"/>
    <n v="58.661000000000001"/>
    <n v="29.577000000000002"/>
    <n v="118.932"/>
    <n v="82.71"/>
    <n v="20.091999999999999"/>
    <n v="9.8010000000000002"/>
    <n v="8.1359999999999992"/>
    <n v="2.7669999999999999"/>
    <n v="31.524999999999999"/>
    <n v="19.585000000000001"/>
    <n v="4.3129999999999997"/>
  </r>
  <r>
    <x v="26"/>
    <n v="75.328999999999994"/>
    <n v="57.475000000000001"/>
    <n v="32.767000000000003"/>
    <n v="110.081"/>
    <n v="65.388000000000005"/>
    <n v="10.571999999999999"/>
    <n v="10.842000000000001"/>
    <n v="9.4760000000000009"/>
    <n v="3.4060000000000001"/>
    <n v="27.849"/>
    <n v="16.995000000000001"/>
    <n v="3.8730000000000002"/>
  </r>
  <r>
    <x v="27"/>
    <n v="70"/>
    <n v="49"/>
    <n v="32.591000000000001"/>
    <n v="151"/>
    <n v="101"/>
    <n v="29.234999999999999"/>
    <n v="13"/>
    <n v="11"/>
    <n v="2.5110000000000001"/>
    <n v="29"/>
    <n v="20"/>
    <n v="4.7"/>
  </r>
  <r>
    <x v="28"/>
    <n v="52"/>
    <n v="24"/>
    <n v="24.021000000000001"/>
    <n v="141"/>
    <n v="56"/>
    <n v="7.6769999999999996"/>
    <n v="10"/>
    <n v="7"/>
    <n v="1.9590000000000001"/>
    <n v="31"/>
    <n v="12"/>
    <n v="2.2850000000000001"/>
  </r>
  <r>
    <x v="29"/>
    <n v="62"/>
    <n v="34"/>
    <n v="10.231"/>
    <n v="124"/>
    <n v="44"/>
    <n v="3.8439999999999999"/>
    <n v="12"/>
    <n v="8"/>
    <n v="1.391"/>
    <n v="36"/>
    <n v="16"/>
    <n v="3.6549999999999998"/>
  </r>
  <r>
    <x v="30"/>
    <n v="65"/>
    <n v="50"/>
    <n v="14.31"/>
    <n v="130"/>
    <n v="104"/>
    <n v="28.55"/>
    <n v="8"/>
    <n v="7"/>
    <n v="3.3980000000000001"/>
    <n v="37"/>
    <n v="25"/>
    <n v="6.8259999999999996"/>
  </r>
  <r>
    <x v="31"/>
    <n v="23"/>
    <n v="8"/>
    <n v="35.508000000000003"/>
    <n v="62"/>
    <n v="13"/>
    <n v="3.7919999999999998"/>
    <n v="5"/>
    <n v="3"/>
    <n v="0.55500000000000005"/>
    <n v="23"/>
    <n v="6"/>
    <n v="7.1870000000000003"/>
  </r>
  <r>
    <x v="32"/>
    <n v="24"/>
    <n v="17"/>
    <n v="5.9749999999999996"/>
    <n v="62"/>
    <n v="51"/>
    <n v="13.911"/>
    <n v="3"/>
    <n v="3"/>
    <n v="1.099"/>
    <n v="27"/>
    <n v="16"/>
    <n v="2.3479999999999999"/>
  </r>
  <r>
    <x v="33"/>
    <n v="17"/>
    <n v="5"/>
    <n v="0.82599999999999996"/>
    <n v="39"/>
    <n v="7"/>
    <n v="0.98699999999999999"/>
    <n v="3"/>
    <n v="2"/>
    <n v="0.313"/>
    <n v="19"/>
    <n v="6"/>
    <n v="0.582999999999999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A3AB6F-6A4B-49A1-AF3B-C0E916EF0B10}" name="PivotTable2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C36" firstHeaderRow="0"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Column2" fld="1" baseField="0" baseItem="0"/>
    <dataField name="Sum of Column3" fld="2" baseField="0" baseItem="0"/>
  </dataField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AB5002D-7391-41CE-A7E6-D6A55900319A}" name="PivotTable2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J1:K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Botswana_x000a_%"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E73817-4FDF-4F65-84B6-413A20B518C5}" name="PivotTable2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lumn4" fld="3"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BE973B-4B7B-44EE-B839-4301007197DB}" name="PivotTable2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C36" firstHeaderRow="0"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Column5" fld="4" baseField="0" baseItem="0"/>
    <dataField name="Sum of Column6" fld="5" baseField="0" baseItem="0"/>
  </dataField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0997993-AAE5-4ECA-82A9-68D5C12B578D}" name="PivotTable3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lumn7" fld="6"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3B64C06-C775-4BBF-A7E8-507362ACE920}" name="PivotTable3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lumn10" fld="9"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802A688-2101-4365-BC3E-5BA0DADB7EA8}" name="PivotTable3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C36" firstHeaderRow="0"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Column8" fld="7" baseField="0" baseItem="0"/>
    <dataField name="Sum of Column9" fld="8" baseField="0" baseItem="0"/>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BD69575-A90D-4A61-8B21-248831A33935}"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C36" firstHeaderRow="0" firstDataRow="1" firstDataCol="1"/>
  <pivotFields count="13">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Area _x000a_Planted_x000a_(*1000_x000a_hactres)4" fld="10" baseField="0" baseItem="0"/>
    <dataField name="Sum of Area_x000a_Harvested_x000a_(*1000 hactres)4" fld="11"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051FB68-5D99-4E0D-89B1-237DB36CD15D}" name="PivotTable3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H36" firstHeaderRow="1" firstDataRow="1" firstDataCol="1"/>
  <pivotFields count="15">
    <pivotField axis="axisRow" showAll="0">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Sum of Column13" fld="12"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umn1" xr10:uid="{E3EB1C4E-CB51-4508-9D29-4C5208987894}" sourceName="Column1">
  <pivotTables>
    <pivotTable tabId="10" name="PivotTable30"/>
    <pivotTable tabId="12" name="PivotTable36"/>
    <pivotTable tabId="11" name="PivotTable33"/>
    <pivotTable tabId="5" name="PivotTable26"/>
    <pivotTable tabId="11" name="PivotTable31"/>
    <pivotTable tabId="5" name="PivotTable24"/>
    <pivotTable tabId="10" name="PivotTable28"/>
    <pivotTable tabId="5" name="PivotTable27"/>
  </pivotTables>
  <data>
    <tabular pivotCacheId="1826246719">
      <items count="34">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umn1" xr10:uid="{1D5E5518-152C-4CE2-AABD-2A7A26E3D8BE}" cache="Slicer_Column1" caption="Year" style="Slicer Style 1" rowHeight="43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9FF4A-3501-4BCE-9D7F-6671EFAEDB5C}">
  <sheetPr codeName="Sheet1"/>
  <dimension ref="A1:R36"/>
  <sheetViews>
    <sheetView topLeftCell="A2" zoomScale="70" zoomScaleNormal="70" workbookViewId="0">
      <selection activeCell="W14" sqref="W14"/>
    </sheetView>
  </sheetViews>
  <sheetFormatPr defaultRowHeight="14.5" x14ac:dyDescent="0.35"/>
  <cols>
    <col min="1" max="1" width="13" customWidth="1"/>
    <col min="13" max="13" width="9.6328125" customWidth="1"/>
    <col min="14" max="14" width="11.81640625" bestFit="1" customWidth="1"/>
    <col min="16" max="16" width="12.54296875" customWidth="1"/>
    <col min="17" max="17" width="9.54296875" bestFit="1" customWidth="1"/>
    <col min="18" max="18" width="18.26953125" bestFit="1" customWidth="1"/>
    <col min="21" max="21" width="10.36328125" customWidth="1"/>
    <col min="22" max="22" width="10.7265625" bestFit="1" customWidth="1"/>
    <col min="23" max="23" width="9.08984375" customWidth="1"/>
    <col min="24" max="25" width="10" customWidth="1"/>
    <col min="26" max="26" width="10.36328125" customWidth="1"/>
  </cols>
  <sheetData>
    <row r="1" spans="1:18" x14ac:dyDescent="0.35">
      <c r="B1" s="24" t="s">
        <v>17</v>
      </c>
      <c r="C1" s="24"/>
      <c r="D1" s="24"/>
      <c r="E1" s="24" t="s">
        <v>18</v>
      </c>
      <c r="F1" s="24"/>
      <c r="G1" s="24"/>
      <c r="H1" s="24" t="s">
        <v>19</v>
      </c>
      <c r="I1" s="24"/>
      <c r="J1" s="24"/>
      <c r="K1" s="24" t="s">
        <v>26</v>
      </c>
      <c r="L1" s="24"/>
      <c r="M1" s="24"/>
    </row>
    <row r="2" spans="1:18" ht="87.05" x14ac:dyDescent="0.35">
      <c r="A2" s="12" t="s">
        <v>13</v>
      </c>
      <c r="B2" s="13" t="s">
        <v>16</v>
      </c>
      <c r="C2" s="14" t="s">
        <v>15</v>
      </c>
      <c r="D2" s="14" t="s">
        <v>14</v>
      </c>
      <c r="E2" s="13" t="s">
        <v>16</v>
      </c>
      <c r="F2" s="14" t="s">
        <v>15</v>
      </c>
      <c r="G2" s="14" t="s">
        <v>14</v>
      </c>
      <c r="H2" s="13" t="s">
        <v>16</v>
      </c>
      <c r="I2" s="14" t="s">
        <v>15</v>
      </c>
      <c r="J2" s="14" t="s">
        <v>14</v>
      </c>
      <c r="K2" s="13" t="s">
        <v>16</v>
      </c>
      <c r="L2" s="14" t="s">
        <v>15</v>
      </c>
      <c r="M2" s="14" t="s">
        <v>14</v>
      </c>
      <c r="N2" s="17" t="s">
        <v>27</v>
      </c>
    </row>
    <row r="3" spans="1:18" ht="29.05" x14ac:dyDescent="0.35">
      <c r="A3" s="1">
        <v>1980</v>
      </c>
      <c r="B3" s="2">
        <v>147</v>
      </c>
      <c r="C3" s="3">
        <v>131</v>
      </c>
      <c r="D3" s="3">
        <v>29</v>
      </c>
      <c r="E3" s="2">
        <v>80</v>
      </c>
      <c r="F3" s="3">
        <v>47</v>
      </c>
      <c r="G3" s="3">
        <v>12</v>
      </c>
      <c r="H3" s="2">
        <v>17</v>
      </c>
      <c r="I3" s="3">
        <v>14</v>
      </c>
      <c r="J3" s="3">
        <v>3</v>
      </c>
      <c r="K3" s="2">
        <v>24</v>
      </c>
      <c r="L3" s="4">
        <v>13</v>
      </c>
      <c r="M3" s="3">
        <v>2</v>
      </c>
      <c r="N3" s="18">
        <v>12.703899096476867</v>
      </c>
      <c r="Q3" s="21" t="s">
        <v>21</v>
      </c>
      <c r="R3" s="19" t="s">
        <v>22</v>
      </c>
    </row>
    <row r="4" spans="1:18" x14ac:dyDescent="0.35">
      <c r="A4" s="1">
        <f t="shared" ref="A4:A13" si="0">A3+1</f>
        <v>1981</v>
      </c>
      <c r="B4" s="2">
        <v>141</v>
      </c>
      <c r="C4" s="3">
        <v>123</v>
      </c>
      <c r="D4" s="3">
        <v>28</v>
      </c>
      <c r="E4" s="2">
        <v>87</v>
      </c>
      <c r="F4" s="3">
        <v>59</v>
      </c>
      <c r="G4" s="3">
        <v>22</v>
      </c>
      <c r="H4" s="2">
        <v>20</v>
      </c>
      <c r="I4" s="3">
        <v>13</v>
      </c>
      <c r="J4" s="3">
        <v>2</v>
      </c>
      <c r="K4" s="2">
        <v>26</v>
      </c>
      <c r="L4" s="4">
        <v>15</v>
      </c>
      <c r="M4" s="3">
        <v>3</v>
      </c>
      <c r="N4" s="18">
        <v>12.370617696160267</v>
      </c>
      <c r="Q4" s="22" t="s">
        <v>17</v>
      </c>
      <c r="R4" s="15">
        <v>58</v>
      </c>
    </row>
    <row r="5" spans="1:18" x14ac:dyDescent="0.35">
      <c r="A5" s="1">
        <f t="shared" si="0"/>
        <v>1982</v>
      </c>
      <c r="B5" s="2">
        <v>93</v>
      </c>
      <c r="C5" s="3">
        <v>37</v>
      </c>
      <c r="D5" s="3">
        <v>4</v>
      </c>
      <c r="E5" s="2">
        <v>64</v>
      </c>
      <c r="F5" s="3">
        <v>24</v>
      </c>
      <c r="G5" s="3">
        <v>13</v>
      </c>
      <c r="H5" s="2">
        <v>16</v>
      </c>
      <c r="I5" s="3">
        <v>4</v>
      </c>
      <c r="J5" s="3">
        <v>0.5</v>
      </c>
      <c r="K5" s="2">
        <v>20</v>
      </c>
      <c r="L5" s="4">
        <v>4</v>
      </c>
      <c r="M5" s="3">
        <v>0.5</v>
      </c>
      <c r="N5" s="18">
        <v>10.27223577819243</v>
      </c>
      <c r="Q5" s="22" t="s">
        <v>18</v>
      </c>
      <c r="R5" s="15">
        <v>45.5</v>
      </c>
    </row>
    <row r="6" spans="1:18" x14ac:dyDescent="0.35">
      <c r="A6" s="1">
        <f t="shared" si="0"/>
        <v>1983</v>
      </c>
      <c r="B6" s="2">
        <v>126</v>
      </c>
      <c r="C6" s="3">
        <v>35</v>
      </c>
      <c r="D6" s="3">
        <v>5</v>
      </c>
      <c r="E6" s="2">
        <v>61</v>
      </c>
      <c r="F6" s="3">
        <v>20</v>
      </c>
      <c r="G6" s="3">
        <v>9</v>
      </c>
      <c r="H6" s="2">
        <v>17</v>
      </c>
      <c r="I6" s="3">
        <v>6</v>
      </c>
      <c r="J6" s="3">
        <v>0.5</v>
      </c>
      <c r="K6" s="2">
        <v>22</v>
      </c>
      <c r="L6" s="4">
        <v>3</v>
      </c>
      <c r="M6" s="3">
        <v>0.3</v>
      </c>
      <c r="N6" s="18">
        <v>7.9713807986934713</v>
      </c>
      <c r="Q6" s="22" t="s">
        <v>19</v>
      </c>
      <c r="R6" s="15">
        <v>63.5</v>
      </c>
    </row>
    <row r="7" spans="1:18" x14ac:dyDescent="0.35">
      <c r="A7" s="1">
        <f t="shared" si="0"/>
        <v>1984</v>
      </c>
      <c r="B7" s="2">
        <v>114</v>
      </c>
      <c r="C7" s="3">
        <v>49</v>
      </c>
      <c r="D7" s="3">
        <v>6</v>
      </c>
      <c r="E7" s="2">
        <v>48</v>
      </c>
      <c r="F7" s="3">
        <v>3</v>
      </c>
      <c r="G7" s="3">
        <v>0.5</v>
      </c>
      <c r="H7" s="2">
        <v>17</v>
      </c>
      <c r="I7" s="3">
        <v>8</v>
      </c>
      <c r="J7" s="3">
        <v>0.7</v>
      </c>
      <c r="K7" s="2">
        <v>17</v>
      </c>
      <c r="L7" s="4">
        <v>3</v>
      </c>
      <c r="M7" s="3">
        <v>0.4</v>
      </c>
      <c r="N7" s="18">
        <v>6.8930200800720032</v>
      </c>
      <c r="Q7" s="23" t="s">
        <v>20</v>
      </c>
      <c r="R7" s="16">
        <v>51.2</v>
      </c>
    </row>
    <row r="8" spans="1:18" x14ac:dyDescent="0.35">
      <c r="A8" s="1">
        <f t="shared" si="0"/>
        <v>1985</v>
      </c>
      <c r="B8" s="2">
        <v>125</v>
      </c>
      <c r="C8" s="3">
        <v>83</v>
      </c>
      <c r="D8" s="3">
        <v>15</v>
      </c>
      <c r="E8" s="2">
        <v>49</v>
      </c>
      <c r="F8" s="3">
        <v>8</v>
      </c>
      <c r="G8" s="3">
        <v>1.5</v>
      </c>
      <c r="H8" s="2">
        <v>16</v>
      </c>
      <c r="I8" s="3">
        <v>10</v>
      </c>
      <c r="J8" s="3">
        <v>1.8</v>
      </c>
      <c r="K8" s="2">
        <v>15</v>
      </c>
      <c r="L8" s="4">
        <v>3</v>
      </c>
      <c r="M8" s="3">
        <v>0.4</v>
      </c>
      <c r="N8" s="18">
        <v>5.9218746316509119</v>
      </c>
    </row>
    <row r="9" spans="1:18" x14ac:dyDescent="0.35">
      <c r="A9" s="1">
        <f t="shared" si="0"/>
        <v>1986</v>
      </c>
      <c r="B9" s="2">
        <v>152.9</v>
      </c>
      <c r="C9" s="3">
        <v>90.4</v>
      </c>
      <c r="D9" s="3">
        <v>11.33</v>
      </c>
      <c r="E9" s="2">
        <v>41.6</v>
      </c>
      <c r="F9" s="3">
        <v>7.6</v>
      </c>
      <c r="G9" s="3">
        <v>1.91</v>
      </c>
      <c r="H9" s="2">
        <v>17.399999999999999</v>
      </c>
      <c r="I9" s="3">
        <v>10.1</v>
      </c>
      <c r="J9" s="3">
        <v>1.29</v>
      </c>
      <c r="K9" s="2">
        <v>15.7</v>
      </c>
      <c r="L9" s="4">
        <v>5</v>
      </c>
      <c r="M9" s="3">
        <v>0.49</v>
      </c>
      <c r="N9" s="18">
        <v>5.2867897130192212</v>
      </c>
    </row>
    <row r="10" spans="1:18" x14ac:dyDescent="0.35">
      <c r="A10" s="1">
        <f t="shared" si="0"/>
        <v>1987</v>
      </c>
      <c r="B10" s="2">
        <v>194.7</v>
      </c>
      <c r="C10" s="3">
        <v>102.6</v>
      </c>
      <c r="D10" s="3">
        <v>11.135</v>
      </c>
      <c r="E10" s="2">
        <v>43.3</v>
      </c>
      <c r="F10" s="3">
        <v>3.2</v>
      </c>
      <c r="G10" s="3">
        <v>0.215</v>
      </c>
      <c r="H10" s="2">
        <v>14</v>
      </c>
      <c r="I10" s="3">
        <v>5.4</v>
      </c>
      <c r="J10" s="3">
        <v>0.36</v>
      </c>
      <c r="K10" s="2">
        <v>14.9</v>
      </c>
      <c r="L10" s="4">
        <v>2.2000000000000002</v>
      </c>
      <c r="M10" s="3">
        <v>0.28499999999999998</v>
      </c>
      <c r="N10" s="18">
        <v>6.2448855887255643</v>
      </c>
      <c r="Q10" s="21" t="s">
        <v>21</v>
      </c>
      <c r="R10" s="20" t="s">
        <v>23</v>
      </c>
    </row>
    <row r="11" spans="1:18" x14ac:dyDescent="0.35">
      <c r="A11" s="1">
        <f t="shared" si="0"/>
        <v>1988</v>
      </c>
      <c r="B11" s="2">
        <v>245.7</v>
      </c>
      <c r="C11" s="3">
        <v>219.4</v>
      </c>
      <c r="D11" s="3">
        <v>69.34</v>
      </c>
      <c r="E11" s="2">
        <v>37.299999999999997</v>
      </c>
      <c r="F11" s="3">
        <v>29.9</v>
      </c>
      <c r="G11" s="3">
        <v>4.84</v>
      </c>
      <c r="H11" s="2">
        <v>13</v>
      </c>
      <c r="I11" s="3">
        <v>9</v>
      </c>
      <c r="J11" s="3">
        <v>2.8650000000000002</v>
      </c>
      <c r="K11" s="2">
        <v>17.100000000000001</v>
      </c>
      <c r="L11" s="4">
        <v>9.9</v>
      </c>
      <c r="M11" s="3">
        <v>1.7250000000000001</v>
      </c>
      <c r="N11" s="18">
        <v>5.6319533479465651</v>
      </c>
      <c r="Q11" s="22" t="s">
        <v>17</v>
      </c>
      <c r="R11" s="15">
        <v>558.70000000000005</v>
      </c>
    </row>
    <row r="12" spans="1:18" x14ac:dyDescent="0.35">
      <c r="A12" s="1">
        <f t="shared" si="0"/>
        <v>1989</v>
      </c>
      <c r="B12" s="2">
        <v>237.1</v>
      </c>
      <c r="C12" s="3">
        <v>183.8</v>
      </c>
      <c r="D12" s="3">
        <v>34.93</v>
      </c>
      <c r="E12" s="2">
        <v>76</v>
      </c>
      <c r="F12" s="3">
        <v>45</v>
      </c>
      <c r="G12" s="3">
        <v>9.7650000000000006</v>
      </c>
      <c r="H12" s="2">
        <v>20.3</v>
      </c>
      <c r="I12" s="3">
        <v>11.4</v>
      </c>
      <c r="J12" s="3">
        <v>1.94</v>
      </c>
      <c r="K12" s="2">
        <v>28.2</v>
      </c>
      <c r="L12" s="4">
        <v>15.5</v>
      </c>
      <c r="M12" s="3">
        <v>2.0750000000000002</v>
      </c>
      <c r="N12" s="18">
        <v>4.6969928623733619</v>
      </c>
      <c r="Q12" s="22" t="s">
        <v>18</v>
      </c>
      <c r="R12" s="15">
        <v>255</v>
      </c>
    </row>
    <row r="13" spans="1:18" x14ac:dyDescent="0.35">
      <c r="A13" s="1">
        <f t="shared" si="0"/>
        <v>1990</v>
      </c>
      <c r="B13" s="2">
        <v>206</v>
      </c>
      <c r="C13" s="3">
        <v>153</v>
      </c>
      <c r="D13" s="3">
        <v>38.200000000000003</v>
      </c>
      <c r="E13" s="2">
        <v>80</v>
      </c>
      <c r="F13" s="3">
        <v>41</v>
      </c>
      <c r="G13" s="3">
        <v>12</v>
      </c>
      <c r="H13" s="2">
        <v>12</v>
      </c>
      <c r="I13" s="3">
        <v>9</v>
      </c>
      <c r="J13" s="3">
        <v>1.7</v>
      </c>
      <c r="K13" s="2">
        <v>20</v>
      </c>
      <c r="L13" s="4">
        <v>12</v>
      </c>
      <c r="M13" s="3">
        <v>2</v>
      </c>
      <c r="N13" s="18">
        <v>4.5261508575155798</v>
      </c>
      <c r="Q13" s="22" t="s">
        <v>19</v>
      </c>
      <c r="R13" s="15">
        <v>288.2</v>
      </c>
    </row>
    <row r="14" spans="1:18" x14ac:dyDescent="0.35">
      <c r="A14" s="1">
        <v>1993</v>
      </c>
      <c r="B14" s="2">
        <v>144</v>
      </c>
      <c r="C14" s="3">
        <v>66</v>
      </c>
      <c r="D14" s="3">
        <v>10.797000000000001</v>
      </c>
      <c r="E14" s="2">
        <v>85</v>
      </c>
      <c r="F14" s="3">
        <v>22</v>
      </c>
      <c r="G14" s="3">
        <v>2.976</v>
      </c>
      <c r="H14" s="2">
        <v>15</v>
      </c>
      <c r="I14" s="3">
        <v>11</v>
      </c>
      <c r="J14" s="3">
        <v>1.6240000000000001</v>
      </c>
      <c r="K14" s="2">
        <v>27</v>
      </c>
      <c r="L14" s="4">
        <v>9</v>
      </c>
      <c r="M14" s="3">
        <v>0.53</v>
      </c>
      <c r="N14" s="18">
        <v>4.5211925631218497</v>
      </c>
      <c r="Q14" s="23" t="s">
        <v>20</v>
      </c>
      <c r="R14" s="16">
        <v>190.8</v>
      </c>
    </row>
    <row r="15" spans="1:18" x14ac:dyDescent="0.35">
      <c r="A15" s="1">
        <v>1995</v>
      </c>
      <c r="B15" s="2">
        <v>166</v>
      </c>
      <c r="C15" s="3">
        <v>106</v>
      </c>
      <c r="D15" s="3">
        <v>113.547</v>
      </c>
      <c r="E15" s="2">
        <v>86</v>
      </c>
      <c r="F15" s="3">
        <v>20</v>
      </c>
      <c r="G15" s="3">
        <v>18.952999999999999</v>
      </c>
      <c r="H15" s="2">
        <v>14</v>
      </c>
      <c r="I15" s="3">
        <v>7</v>
      </c>
      <c r="J15" s="3">
        <v>19.39</v>
      </c>
      <c r="K15" s="2">
        <v>26</v>
      </c>
      <c r="L15" s="4">
        <v>10</v>
      </c>
      <c r="M15" s="3">
        <v>10.180999999999999</v>
      </c>
      <c r="N15" s="18">
        <v>4.637720943709871</v>
      </c>
    </row>
    <row r="16" spans="1:18" x14ac:dyDescent="0.35">
      <c r="A16" s="1">
        <f t="shared" ref="A16:A24" si="1">A15+1</f>
        <v>1996</v>
      </c>
      <c r="B16" s="2">
        <v>191</v>
      </c>
      <c r="C16" s="3">
        <v>164</v>
      </c>
      <c r="D16" s="3">
        <v>59.2</v>
      </c>
      <c r="E16" s="2">
        <v>134</v>
      </c>
      <c r="F16" s="3">
        <v>100</v>
      </c>
      <c r="G16" s="3">
        <v>24.629000000000001</v>
      </c>
      <c r="H16" s="2">
        <v>11</v>
      </c>
      <c r="I16" s="3">
        <v>9</v>
      </c>
      <c r="J16" s="3">
        <v>2.508</v>
      </c>
      <c r="K16" s="2">
        <v>36</v>
      </c>
      <c r="L16" s="4">
        <v>25</v>
      </c>
      <c r="M16" s="3">
        <v>3.9140000000000001</v>
      </c>
      <c r="N16" s="18">
        <v>3.6909940489857211</v>
      </c>
    </row>
    <row r="17" spans="1:14" x14ac:dyDescent="0.35">
      <c r="A17" s="1">
        <f t="shared" si="1"/>
        <v>1997</v>
      </c>
      <c r="B17" s="2">
        <v>154</v>
      </c>
      <c r="C17" s="3">
        <v>64</v>
      </c>
      <c r="D17" s="3">
        <v>13.45</v>
      </c>
      <c r="E17" s="2">
        <v>117</v>
      </c>
      <c r="F17" s="3">
        <v>79</v>
      </c>
      <c r="G17" s="3">
        <v>22.646999999999998</v>
      </c>
      <c r="H17" s="2">
        <v>11</v>
      </c>
      <c r="I17" s="3">
        <v>8</v>
      </c>
      <c r="J17" s="3">
        <v>1.357</v>
      </c>
      <c r="K17" s="2">
        <v>77</v>
      </c>
      <c r="L17" s="4">
        <v>34</v>
      </c>
      <c r="M17" s="3">
        <v>4.4669999999999996</v>
      </c>
      <c r="N17" s="18">
        <v>3.5427056166042843</v>
      </c>
    </row>
    <row r="18" spans="1:14" x14ac:dyDescent="0.35">
      <c r="A18" s="1">
        <f t="shared" si="1"/>
        <v>1998</v>
      </c>
      <c r="B18" s="2">
        <v>65</v>
      </c>
      <c r="C18" s="3">
        <v>27</v>
      </c>
      <c r="D18" s="3">
        <v>3.56</v>
      </c>
      <c r="E18" s="2">
        <v>88</v>
      </c>
      <c r="F18" s="3">
        <v>24</v>
      </c>
      <c r="G18" s="3">
        <v>2.2330000000000001</v>
      </c>
      <c r="H18" s="2">
        <v>9</v>
      </c>
      <c r="I18" s="3">
        <v>5</v>
      </c>
      <c r="J18" s="3">
        <v>0.50700000000000001</v>
      </c>
      <c r="K18" s="2">
        <v>32</v>
      </c>
      <c r="L18" s="4">
        <v>13</v>
      </c>
      <c r="M18" s="3">
        <v>1.19</v>
      </c>
      <c r="N18" s="18">
        <v>3.1668642560758742</v>
      </c>
    </row>
    <row r="19" spans="1:14" x14ac:dyDescent="0.35">
      <c r="A19" s="1">
        <f t="shared" si="1"/>
        <v>1999</v>
      </c>
      <c r="B19" s="2">
        <v>114</v>
      </c>
      <c r="C19" s="3">
        <v>45</v>
      </c>
      <c r="D19" s="3">
        <v>5.3540000000000001</v>
      </c>
      <c r="E19" s="2">
        <v>123</v>
      </c>
      <c r="F19" s="3">
        <v>34</v>
      </c>
      <c r="G19" s="3">
        <v>3.7519999999999998</v>
      </c>
      <c r="H19" s="2">
        <v>8</v>
      </c>
      <c r="I19" s="3">
        <v>5</v>
      </c>
      <c r="J19" s="3">
        <v>0.86</v>
      </c>
      <c r="K19" s="2">
        <v>38</v>
      </c>
      <c r="L19" s="4">
        <v>11</v>
      </c>
      <c r="M19" s="3">
        <v>1.3460000000000001</v>
      </c>
      <c r="N19" s="18">
        <v>2.9907654940184689</v>
      </c>
    </row>
    <row r="20" spans="1:14" x14ac:dyDescent="0.35">
      <c r="A20" s="1">
        <f t="shared" si="1"/>
        <v>2000</v>
      </c>
      <c r="B20" s="2">
        <v>106</v>
      </c>
      <c r="C20" s="3">
        <v>53</v>
      </c>
      <c r="D20" s="3">
        <v>12.670999999999999</v>
      </c>
      <c r="E20" s="2">
        <v>123</v>
      </c>
      <c r="F20" s="3">
        <v>78</v>
      </c>
      <c r="G20" s="3">
        <v>19.962</v>
      </c>
      <c r="H20" s="2">
        <v>5</v>
      </c>
      <c r="I20" s="3">
        <v>3</v>
      </c>
      <c r="J20" s="3">
        <v>0.439</v>
      </c>
      <c r="K20" s="2">
        <v>35</v>
      </c>
      <c r="L20" s="4">
        <v>22</v>
      </c>
      <c r="M20" s="3">
        <v>4.1020000000000003</v>
      </c>
      <c r="N20" s="18">
        <v>2.7946997890345369</v>
      </c>
    </row>
    <row r="21" spans="1:14" x14ac:dyDescent="0.35">
      <c r="A21" s="1">
        <f t="shared" si="1"/>
        <v>2001</v>
      </c>
      <c r="B21" s="2">
        <v>23</v>
      </c>
      <c r="C21" s="3">
        <v>13</v>
      </c>
      <c r="D21" s="3">
        <v>1.583</v>
      </c>
      <c r="E21" s="2">
        <v>48</v>
      </c>
      <c r="F21" s="3">
        <v>25</v>
      </c>
      <c r="G21" s="3">
        <v>4.976</v>
      </c>
      <c r="H21" s="2">
        <v>3</v>
      </c>
      <c r="I21" s="3">
        <v>2</v>
      </c>
      <c r="J21" s="3">
        <v>0.47199999999999998</v>
      </c>
      <c r="K21" s="2">
        <v>15</v>
      </c>
      <c r="L21" s="4">
        <v>8</v>
      </c>
      <c r="M21" s="3">
        <v>1.28</v>
      </c>
      <c r="N21" s="18">
        <v>2.5902906202539144</v>
      </c>
    </row>
    <row r="22" spans="1:14" x14ac:dyDescent="0.35">
      <c r="A22" s="1">
        <f t="shared" si="1"/>
        <v>2002</v>
      </c>
      <c r="B22" s="2">
        <v>66</v>
      </c>
      <c r="C22" s="3">
        <v>31</v>
      </c>
      <c r="D22" s="3">
        <v>15.805</v>
      </c>
      <c r="E22" s="2">
        <v>95</v>
      </c>
      <c r="F22" s="3">
        <v>35</v>
      </c>
      <c r="G22" s="3">
        <v>16.446999999999999</v>
      </c>
      <c r="H22" s="2">
        <v>3</v>
      </c>
      <c r="I22" s="3">
        <v>0</v>
      </c>
      <c r="J22" s="3">
        <v>5.3999999999999999E-2</v>
      </c>
      <c r="K22" s="2">
        <v>30</v>
      </c>
      <c r="L22" s="4">
        <v>11</v>
      </c>
      <c r="M22" s="3">
        <v>1.907</v>
      </c>
      <c r="N22" s="18">
        <v>2.4256159925615992</v>
      </c>
    </row>
    <row r="23" spans="1:14" x14ac:dyDescent="0.35">
      <c r="A23" s="1">
        <f t="shared" si="1"/>
        <v>2003</v>
      </c>
      <c r="B23" s="2">
        <v>25</v>
      </c>
      <c r="C23" s="3">
        <v>5</v>
      </c>
      <c r="D23" s="3">
        <v>23.501000000000001</v>
      </c>
      <c r="E23" s="2">
        <v>38</v>
      </c>
      <c r="F23" s="3">
        <v>8</v>
      </c>
      <c r="G23" s="3">
        <v>1.633</v>
      </c>
      <c r="H23" s="2">
        <v>3</v>
      </c>
      <c r="I23" s="3">
        <v>1</v>
      </c>
      <c r="J23" s="3">
        <v>9.0999999999999998E-2</v>
      </c>
      <c r="K23" s="2">
        <v>11</v>
      </c>
      <c r="L23" s="4">
        <v>3</v>
      </c>
      <c r="M23" s="3">
        <v>0.46</v>
      </c>
      <c r="N23" s="18">
        <v>2.7223869552226621</v>
      </c>
    </row>
    <row r="24" spans="1:14" x14ac:dyDescent="0.35">
      <c r="A24" s="1">
        <f t="shared" si="1"/>
        <v>2004</v>
      </c>
      <c r="B24" s="2">
        <v>48.454000000000001</v>
      </c>
      <c r="C24" s="3">
        <v>38.523000000000003</v>
      </c>
      <c r="D24" s="3">
        <v>10.516</v>
      </c>
      <c r="E24" s="2">
        <v>62.664000000000001</v>
      </c>
      <c r="F24" s="3">
        <v>42.621000000000002</v>
      </c>
      <c r="G24" s="3">
        <v>7.2169999999999996</v>
      </c>
      <c r="H24" s="2">
        <v>7.077</v>
      </c>
      <c r="I24" s="3">
        <v>6.391</v>
      </c>
      <c r="J24" s="3">
        <v>2.681</v>
      </c>
      <c r="K24" s="2">
        <v>14.957000000000001</v>
      </c>
      <c r="L24" s="4">
        <v>7.5039999999999996</v>
      </c>
      <c r="M24" s="3">
        <v>2.0299999999999998</v>
      </c>
      <c r="N24" s="18">
        <v>2.2595853495910205</v>
      </c>
    </row>
    <row r="25" spans="1:14" x14ac:dyDescent="0.35">
      <c r="A25" s="1">
        <v>2006</v>
      </c>
      <c r="B25" s="2">
        <v>58</v>
      </c>
      <c r="C25" s="3">
        <v>46</v>
      </c>
      <c r="D25" s="3">
        <v>12.369</v>
      </c>
      <c r="E25" s="2">
        <v>78</v>
      </c>
      <c r="F25" s="3">
        <v>60</v>
      </c>
      <c r="G25" s="3">
        <v>14.896000000000001</v>
      </c>
      <c r="H25" s="2">
        <v>7</v>
      </c>
      <c r="I25" s="3">
        <v>6</v>
      </c>
      <c r="J25" s="3">
        <v>3.2010000000000001</v>
      </c>
      <c r="K25" s="2">
        <v>23</v>
      </c>
      <c r="L25" s="4">
        <v>16</v>
      </c>
      <c r="M25" s="3">
        <v>4.9180000000000001</v>
      </c>
      <c r="N25" s="18">
        <v>1.738935094243008</v>
      </c>
    </row>
    <row r="26" spans="1:14" x14ac:dyDescent="0.35">
      <c r="A26" s="1">
        <f t="shared" ref="A26:A34" si="2">A25+1</f>
        <v>2007</v>
      </c>
      <c r="B26" s="2">
        <v>33.290999999999997</v>
      </c>
      <c r="C26" s="3">
        <v>7.0919999999999996</v>
      </c>
      <c r="D26" s="3">
        <v>11.773999999999999</v>
      </c>
      <c r="E26" s="2">
        <v>40.75</v>
      </c>
      <c r="F26" s="3">
        <v>8.3940000000000001</v>
      </c>
      <c r="G26" s="3">
        <v>2.149</v>
      </c>
      <c r="H26" s="2">
        <v>6.01</v>
      </c>
      <c r="I26" s="3">
        <v>2.33</v>
      </c>
      <c r="J26" s="3">
        <v>0.53200000000000003</v>
      </c>
      <c r="K26" s="2">
        <v>18.634</v>
      </c>
      <c r="L26" s="4">
        <v>3.7320000000000002</v>
      </c>
      <c r="M26" s="3">
        <v>0.80300000000000005</v>
      </c>
      <c r="N26" s="18">
        <v>1.9266843575501542</v>
      </c>
    </row>
    <row r="27" spans="1:14" x14ac:dyDescent="0.35">
      <c r="A27" s="1">
        <f t="shared" si="2"/>
        <v>2008</v>
      </c>
      <c r="B27" s="2">
        <v>73.159000000000006</v>
      </c>
      <c r="C27" s="3">
        <v>42.914000000000001</v>
      </c>
      <c r="D27" s="3">
        <v>23.632999999999999</v>
      </c>
      <c r="E27" s="2">
        <v>88.614000000000004</v>
      </c>
      <c r="F27" s="3">
        <v>48.662999999999997</v>
      </c>
      <c r="G27" s="3">
        <v>8.9670000000000005</v>
      </c>
      <c r="H27" s="2">
        <v>11.348000000000001</v>
      </c>
      <c r="I27" s="3">
        <v>7.65</v>
      </c>
      <c r="J27" s="3">
        <v>1.637</v>
      </c>
      <c r="K27" s="2">
        <v>29.545000000000002</v>
      </c>
      <c r="L27" s="4">
        <v>13.938000000000001</v>
      </c>
      <c r="M27" s="3">
        <v>2.3050000000000002</v>
      </c>
      <c r="N27" s="18">
        <v>2.1400702761033656</v>
      </c>
    </row>
    <row r="28" spans="1:14" x14ac:dyDescent="0.35">
      <c r="A28" s="1">
        <f t="shared" si="2"/>
        <v>2009</v>
      </c>
      <c r="B28" s="2">
        <v>76.382999999999996</v>
      </c>
      <c r="C28" s="3">
        <v>58.661000000000001</v>
      </c>
      <c r="D28" s="3">
        <v>29.577000000000002</v>
      </c>
      <c r="E28" s="2">
        <v>118.932</v>
      </c>
      <c r="F28" s="3">
        <v>82.71</v>
      </c>
      <c r="G28" s="3">
        <v>20.091999999999999</v>
      </c>
      <c r="H28" s="2">
        <v>9.8010000000000002</v>
      </c>
      <c r="I28" s="3">
        <v>8.1359999999999992</v>
      </c>
      <c r="J28" s="3">
        <v>2.7669999999999999</v>
      </c>
      <c r="K28" s="2">
        <v>31.524999999999999</v>
      </c>
      <c r="L28" s="4">
        <v>19.585000000000001</v>
      </c>
      <c r="M28" s="3">
        <v>4.3129999999999997</v>
      </c>
      <c r="N28" s="18">
        <v>2.3759841962596266</v>
      </c>
    </row>
    <row r="29" spans="1:14" x14ac:dyDescent="0.35">
      <c r="A29" s="1">
        <f t="shared" si="2"/>
        <v>2010</v>
      </c>
      <c r="B29" s="2">
        <v>75.328999999999994</v>
      </c>
      <c r="C29" s="3">
        <v>57.475000000000001</v>
      </c>
      <c r="D29" s="3">
        <v>32.767000000000003</v>
      </c>
      <c r="E29" s="2">
        <v>110.081</v>
      </c>
      <c r="F29" s="3">
        <v>65.388000000000005</v>
      </c>
      <c r="G29" s="3">
        <v>10.571999999999999</v>
      </c>
      <c r="H29" s="2">
        <v>10.842000000000001</v>
      </c>
      <c r="I29" s="3">
        <v>9.4760000000000009</v>
      </c>
      <c r="J29" s="3">
        <v>3.4060000000000001</v>
      </c>
      <c r="K29" s="2">
        <v>27.849</v>
      </c>
      <c r="L29" s="4">
        <v>16.995000000000001</v>
      </c>
      <c r="M29" s="3">
        <v>3.8730000000000002</v>
      </c>
      <c r="N29" s="18">
        <v>2.0910409188325034</v>
      </c>
    </row>
    <row r="30" spans="1:14" x14ac:dyDescent="0.35">
      <c r="A30" s="1">
        <f t="shared" si="2"/>
        <v>2011</v>
      </c>
      <c r="B30" s="2">
        <v>70</v>
      </c>
      <c r="C30" s="3">
        <v>49</v>
      </c>
      <c r="D30" s="3">
        <v>32.591000000000001</v>
      </c>
      <c r="E30" s="2">
        <v>151</v>
      </c>
      <c r="F30" s="3">
        <v>101</v>
      </c>
      <c r="G30" s="3">
        <v>29.234999999999999</v>
      </c>
      <c r="H30" s="2">
        <v>13</v>
      </c>
      <c r="I30" s="3">
        <v>11</v>
      </c>
      <c r="J30" s="3">
        <v>2.5110000000000001</v>
      </c>
      <c r="K30" s="2">
        <v>29</v>
      </c>
      <c r="L30" s="4">
        <v>20</v>
      </c>
      <c r="M30" s="3">
        <v>4.7</v>
      </c>
      <c r="N30" s="18">
        <v>2.1189230068096188</v>
      </c>
    </row>
    <row r="31" spans="1:14" x14ac:dyDescent="0.35">
      <c r="A31" s="1">
        <f t="shared" si="2"/>
        <v>2012</v>
      </c>
      <c r="B31" s="2">
        <v>52</v>
      </c>
      <c r="C31" s="3">
        <v>24</v>
      </c>
      <c r="D31" s="3">
        <v>24.021000000000001</v>
      </c>
      <c r="E31" s="2">
        <v>141</v>
      </c>
      <c r="F31" s="3">
        <v>56</v>
      </c>
      <c r="G31" s="3">
        <v>7.6769999999999996</v>
      </c>
      <c r="H31" s="2">
        <v>10</v>
      </c>
      <c r="I31" s="3">
        <v>7</v>
      </c>
      <c r="J31" s="3">
        <v>1.9590000000000001</v>
      </c>
      <c r="K31" s="2">
        <v>31</v>
      </c>
      <c r="L31" s="4">
        <v>12</v>
      </c>
      <c r="M31" s="3">
        <v>2.2850000000000001</v>
      </c>
      <c r="N31" s="18">
        <v>2.3148110827157962</v>
      </c>
    </row>
    <row r="32" spans="1:14" x14ac:dyDescent="0.35">
      <c r="A32" s="1">
        <f t="shared" si="2"/>
        <v>2013</v>
      </c>
      <c r="B32" s="2">
        <v>62</v>
      </c>
      <c r="C32" s="3">
        <v>34</v>
      </c>
      <c r="D32" s="3">
        <v>10.231</v>
      </c>
      <c r="E32" s="2">
        <v>124</v>
      </c>
      <c r="F32" s="3">
        <v>44</v>
      </c>
      <c r="G32" s="3">
        <v>3.8439999999999999</v>
      </c>
      <c r="H32" s="2">
        <v>12</v>
      </c>
      <c r="I32" s="3">
        <v>8</v>
      </c>
      <c r="J32" s="3">
        <v>1.391</v>
      </c>
      <c r="K32" s="2">
        <v>36</v>
      </c>
      <c r="L32" s="4">
        <v>16</v>
      </c>
      <c r="M32" s="3">
        <v>3.6549999999999998</v>
      </c>
      <c r="N32" s="18">
        <v>1.9935432232723445</v>
      </c>
    </row>
    <row r="33" spans="1:14" x14ac:dyDescent="0.35">
      <c r="A33" s="1">
        <f t="shared" si="2"/>
        <v>2014</v>
      </c>
      <c r="B33" s="2">
        <v>65</v>
      </c>
      <c r="C33" s="3">
        <v>50</v>
      </c>
      <c r="D33" s="3">
        <v>14.31</v>
      </c>
      <c r="E33" s="2">
        <v>130</v>
      </c>
      <c r="F33" s="3">
        <v>104</v>
      </c>
      <c r="G33" s="3">
        <v>28.55</v>
      </c>
      <c r="H33" s="2">
        <v>8</v>
      </c>
      <c r="I33" s="3">
        <v>7</v>
      </c>
      <c r="J33" s="3">
        <v>3.3980000000000001</v>
      </c>
      <c r="K33" s="2">
        <v>37</v>
      </c>
      <c r="L33" s="4">
        <v>25</v>
      </c>
      <c r="M33" s="3">
        <v>6.8259999999999996</v>
      </c>
      <c r="N33" s="18">
        <v>1.8195983525325894</v>
      </c>
    </row>
    <row r="34" spans="1:14" x14ac:dyDescent="0.35">
      <c r="A34" s="1">
        <f t="shared" si="2"/>
        <v>2015</v>
      </c>
      <c r="B34" s="2">
        <v>23</v>
      </c>
      <c r="C34" s="3">
        <v>8</v>
      </c>
      <c r="D34" s="3">
        <v>35.508000000000003</v>
      </c>
      <c r="E34" s="2">
        <v>62</v>
      </c>
      <c r="F34" s="3">
        <v>13</v>
      </c>
      <c r="G34" s="3">
        <v>3.7919999999999998</v>
      </c>
      <c r="H34" s="2">
        <v>5</v>
      </c>
      <c r="I34" s="3">
        <v>3</v>
      </c>
      <c r="J34" s="3">
        <v>0.55500000000000005</v>
      </c>
      <c r="K34" s="2">
        <v>23</v>
      </c>
      <c r="L34" s="4">
        <v>6</v>
      </c>
      <c r="M34" s="3">
        <v>7.1870000000000003</v>
      </c>
      <c r="N34" s="18">
        <v>1.9477648675882884</v>
      </c>
    </row>
    <row r="35" spans="1:14" x14ac:dyDescent="0.35">
      <c r="A35" s="1">
        <v>2017</v>
      </c>
      <c r="B35" s="2">
        <v>24</v>
      </c>
      <c r="C35" s="3">
        <v>17</v>
      </c>
      <c r="D35" s="3">
        <v>5.9749999999999996</v>
      </c>
      <c r="E35" s="2">
        <v>62</v>
      </c>
      <c r="F35" s="3">
        <v>51</v>
      </c>
      <c r="G35" s="3">
        <v>13.911</v>
      </c>
      <c r="H35" s="2">
        <v>3</v>
      </c>
      <c r="I35" s="3">
        <v>3</v>
      </c>
      <c r="J35" s="3">
        <v>1.099</v>
      </c>
      <c r="K35" s="2">
        <v>27</v>
      </c>
      <c r="L35" s="4">
        <v>16</v>
      </c>
      <c r="M35" s="3">
        <v>2.3479999999999999</v>
      </c>
      <c r="N35" s="18">
        <v>1.8419939490754045</v>
      </c>
    </row>
    <row r="36" spans="1:14" x14ac:dyDescent="0.35">
      <c r="A36" s="5">
        <v>2019</v>
      </c>
      <c r="B36" s="6">
        <v>17</v>
      </c>
      <c r="C36" s="7">
        <v>5</v>
      </c>
      <c r="D36" s="7">
        <v>0.82599999999999996</v>
      </c>
      <c r="E36" s="6">
        <v>39</v>
      </c>
      <c r="F36" s="7">
        <v>7</v>
      </c>
      <c r="G36" s="7">
        <v>0.98699999999999999</v>
      </c>
      <c r="H36" s="6">
        <v>3</v>
      </c>
      <c r="I36" s="7">
        <v>2</v>
      </c>
      <c r="J36" s="7">
        <v>0.313</v>
      </c>
      <c r="K36" s="6">
        <v>19</v>
      </c>
      <c r="L36" s="8">
        <v>6</v>
      </c>
      <c r="M36" s="7">
        <v>0.58299999999999996</v>
      </c>
      <c r="N36" s="18">
        <v>2.0871641141501707</v>
      </c>
    </row>
  </sheetData>
  <mergeCells count="4">
    <mergeCell ref="B1:D1"/>
    <mergeCell ref="E1:G1"/>
    <mergeCell ref="H1:J1"/>
    <mergeCell ref="K1:M1"/>
  </mergeCells>
  <phoneticPr fontId="1"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98B25-2034-4646-A806-6A394515E041}">
  <sheetPr codeName="Sheet2"/>
  <dimension ref="A1:K36"/>
  <sheetViews>
    <sheetView topLeftCell="A5" workbookViewId="0">
      <selection activeCell="E11" sqref="E11"/>
    </sheetView>
  </sheetViews>
  <sheetFormatPr defaultRowHeight="14.5" x14ac:dyDescent="0.35"/>
  <cols>
    <col min="1" max="1" width="11.90625" bestFit="1" customWidth="1"/>
    <col min="2" max="5" width="13.90625" bestFit="1" customWidth="1"/>
    <col min="6" max="6" width="14.36328125" bestFit="1" customWidth="1"/>
    <col min="7" max="7" width="11.90625" bestFit="1" customWidth="1"/>
    <col min="8" max="8" width="13.90625" bestFit="1" customWidth="1"/>
    <col min="9" max="9" width="14.36328125" bestFit="1" customWidth="1"/>
    <col min="10" max="10" width="11.90625" bestFit="1" customWidth="1"/>
    <col min="11" max="11" width="17.08984375" bestFit="1" customWidth="1"/>
    <col min="12" max="12" width="10.81640625" bestFit="1" customWidth="1"/>
    <col min="13" max="14" width="11.81640625" bestFit="1" customWidth="1"/>
    <col min="15" max="15" width="10.81640625" bestFit="1" customWidth="1"/>
    <col min="16" max="28" width="11.81640625" bestFit="1" customWidth="1"/>
    <col min="29" max="29" width="10.81640625" bestFit="1" customWidth="1"/>
    <col min="30" max="31" width="11.81640625" bestFit="1" customWidth="1"/>
    <col min="32" max="32" width="10.81640625" bestFit="1" customWidth="1"/>
    <col min="33" max="45" width="11.81640625" bestFit="1" customWidth="1"/>
    <col min="46" max="68" width="14.36328125" bestFit="1" customWidth="1"/>
    <col min="69" max="70" width="18.36328125" bestFit="1" customWidth="1"/>
  </cols>
  <sheetData>
    <row r="1" spans="1:11" x14ac:dyDescent="0.35">
      <c r="A1" s="9" t="s">
        <v>0</v>
      </c>
      <c r="B1" t="s">
        <v>2</v>
      </c>
      <c r="C1" t="s">
        <v>5</v>
      </c>
      <c r="G1" s="9" t="s">
        <v>0</v>
      </c>
      <c r="H1" t="s">
        <v>9</v>
      </c>
      <c r="J1" s="9" t="s">
        <v>0</v>
      </c>
      <c r="K1" t="s">
        <v>10</v>
      </c>
    </row>
    <row r="2" spans="1:11" x14ac:dyDescent="0.35">
      <c r="A2" s="10">
        <v>1980</v>
      </c>
      <c r="B2">
        <v>147</v>
      </c>
      <c r="C2">
        <v>131</v>
      </c>
      <c r="G2" s="10">
        <v>1980</v>
      </c>
      <c r="H2">
        <v>29</v>
      </c>
      <c r="J2" s="10">
        <v>1980</v>
      </c>
      <c r="K2">
        <v>12.703899096476867</v>
      </c>
    </row>
    <row r="3" spans="1:11" x14ac:dyDescent="0.35">
      <c r="A3" s="10">
        <v>1981</v>
      </c>
      <c r="B3">
        <v>141</v>
      </c>
      <c r="C3">
        <v>123</v>
      </c>
      <c r="G3" s="10">
        <v>1981</v>
      </c>
      <c r="H3">
        <v>28</v>
      </c>
      <c r="J3" s="10">
        <v>1981</v>
      </c>
      <c r="K3">
        <v>12.370617696160267</v>
      </c>
    </row>
    <row r="4" spans="1:11" x14ac:dyDescent="0.35">
      <c r="A4" s="10">
        <v>1982</v>
      </c>
      <c r="B4">
        <v>93</v>
      </c>
      <c r="C4">
        <v>37</v>
      </c>
      <c r="G4" s="10">
        <v>1982</v>
      </c>
      <c r="H4">
        <v>4</v>
      </c>
      <c r="J4" s="10">
        <v>1982</v>
      </c>
      <c r="K4">
        <v>10.27223577819243</v>
      </c>
    </row>
    <row r="5" spans="1:11" x14ac:dyDescent="0.35">
      <c r="A5" s="10">
        <v>1983</v>
      </c>
      <c r="B5">
        <v>126</v>
      </c>
      <c r="C5">
        <v>35</v>
      </c>
      <c r="G5" s="10">
        <v>1983</v>
      </c>
      <c r="H5">
        <v>5</v>
      </c>
      <c r="J5" s="10">
        <v>1983</v>
      </c>
      <c r="K5">
        <v>7.9713807986934713</v>
      </c>
    </row>
    <row r="6" spans="1:11" x14ac:dyDescent="0.35">
      <c r="A6" s="10">
        <v>1984</v>
      </c>
      <c r="B6">
        <v>114</v>
      </c>
      <c r="C6">
        <v>49</v>
      </c>
      <c r="G6" s="10">
        <v>1984</v>
      </c>
      <c r="H6">
        <v>6</v>
      </c>
      <c r="J6" s="10">
        <v>1984</v>
      </c>
      <c r="K6">
        <v>6.8930200800720032</v>
      </c>
    </row>
    <row r="7" spans="1:11" x14ac:dyDescent="0.35">
      <c r="A7" s="10">
        <v>1985</v>
      </c>
      <c r="B7">
        <v>125</v>
      </c>
      <c r="C7">
        <v>83</v>
      </c>
      <c r="G7" s="10">
        <v>1985</v>
      </c>
      <c r="H7">
        <v>15</v>
      </c>
      <c r="J7" s="10">
        <v>1985</v>
      </c>
      <c r="K7">
        <v>5.9218746316509119</v>
      </c>
    </row>
    <row r="8" spans="1:11" x14ac:dyDescent="0.35">
      <c r="A8" s="10">
        <v>1986</v>
      </c>
      <c r="B8">
        <v>152.9</v>
      </c>
      <c r="C8">
        <v>90.4</v>
      </c>
      <c r="G8" s="10">
        <v>1986</v>
      </c>
      <c r="H8">
        <v>11.33</v>
      </c>
      <c r="J8" s="10">
        <v>1986</v>
      </c>
      <c r="K8">
        <v>5.2867897130192212</v>
      </c>
    </row>
    <row r="9" spans="1:11" x14ac:dyDescent="0.35">
      <c r="A9" s="10">
        <v>1987</v>
      </c>
      <c r="B9">
        <v>194.7</v>
      </c>
      <c r="C9">
        <v>102.6</v>
      </c>
      <c r="G9" s="10">
        <v>1987</v>
      </c>
      <c r="H9">
        <v>11.135</v>
      </c>
      <c r="J9" s="10">
        <v>1987</v>
      </c>
      <c r="K9">
        <v>6.2448855887255643</v>
      </c>
    </row>
    <row r="10" spans="1:11" x14ac:dyDescent="0.35">
      <c r="A10" s="10">
        <v>1988</v>
      </c>
      <c r="B10">
        <v>245.7</v>
      </c>
      <c r="C10">
        <v>219.4</v>
      </c>
      <c r="G10" s="10">
        <v>1988</v>
      </c>
      <c r="H10">
        <v>69.34</v>
      </c>
      <c r="J10" s="10">
        <v>1988</v>
      </c>
      <c r="K10">
        <v>5.6319533479465651</v>
      </c>
    </row>
    <row r="11" spans="1:11" x14ac:dyDescent="0.35">
      <c r="A11" s="10">
        <v>1989</v>
      </c>
      <c r="B11">
        <v>237.1</v>
      </c>
      <c r="C11">
        <v>183.8</v>
      </c>
      <c r="G11" s="10">
        <v>1989</v>
      </c>
      <c r="H11">
        <v>34.93</v>
      </c>
      <c r="J11" s="10">
        <v>1989</v>
      </c>
      <c r="K11">
        <v>4.6969928623733619</v>
      </c>
    </row>
    <row r="12" spans="1:11" x14ac:dyDescent="0.35">
      <c r="A12" s="10">
        <v>1990</v>
      </c>
      <c r="B12">
        <v>206</v>
      </c>
      <c r="C12">
        <v>153</v>
      </c>
      <c r="G12" s="10">
        <v>1990</v>
      </c>
      <c r="H12">
        <v>38.200000000000003</v>
      </c>
      <c r="J12" s="10">
        <v>1990</v>
      </c>
      <c r="K12">
        <v>4.5261508575155798</v>
      </c>
    </row>
    <row r="13" spans="1:11" x14ac:dyDescent="0.35">
      <c r="A13" s="10">
        <v>1993</v>
      </c>
      <c r="B13">
        <v>144</v>
      </c>
      <c r="C13">
        <v>66</v>
      </c>
      <c r="G13" s="10">
        <v>1993</v>
      </c>
      <c r="H13">
        <v>10.797000000000001</v>
      </c>
      <c r="J13" s="10">
        <v>1993</v>
      </c>
      <c r="K13">
        <v>4.5211925631218497</v>
      </c>
    </row>
    <row r="14" spans="1:11" x14ac:dyDescent="0.35">
      <c r="A14" s="10">
        <v>1995</v>
      </c>
      <c r="B14">
        <v>166</v>
      </c>
      <c r="C14">
        <v>106</v>
      </c>
      <c r="G14" s="10">
        <v>1995</v>
      </c>
      <c r="H14">
        <v>113.547</v>
      </c>
      <c r="J14" s="10">
        <v>1995</v>
      </c>
      <c r="K14">
        <v>4.637720943709871</v>
      </c>
    </row>
    <row r="15" spans="1:11" x14ac:dyDescent="0.35">
      <c r="A15" s="10">
        <v>1996</v>
      </c>
      <c r="B15">
        <v>191</v>
      </c>
      <c r="C15">
        <v>164</v>
      </c>
      <c r="G15" s="10">
        <v>1996</v>
      </c>
      <c r="H15">
        <v>59.2</v>
      </c>
      <c r="J15" s="10">
        <v>1996</v>
      </c>
      <c r="K15">
        <v>3.6909940489857211</v>
      </c>
    </row>
    <row r="16" spans="1:11" x14ac:dyDescent="0.35">
      <c r="A16" s="10">
        <v>1997</v>
      </c>
      <c r="B16">
        <v>154</v>
      </c>
      <c r="C16">
        <v>64</v>
      </c>
      <c r="G16" s="10">
        <v>1997</v>
      </c>
      <c r="H16">
        <v>13.45</v>
      </c>
      <c r="J16" s="10">
        <v>1997</v>
      </c>
      <c r="K16">
        <v>3.5427056166042843</v>
      </c>
    </row>
    <row r="17" spans="1:11" x14ac:dyDescent="0.35">
      <c r="A17" s="10">
        <v>1998</v>
      </c>
      <c r="B17">
        <v>65</v>
      </c>
      <c r="C17">
        <v>27</v>
      </c>
      <c r="G17" s="10">
        <v>1998</v>
      </c>
      <c r="H17">
        <v>3.56</v>
      </c>
      <c r="J17" s="10">
        <v>1998</v>
      </c>
      <c r="K17">
        <v>3.1668642560758742</v>
      </c>
    </row>
    <row r="18" spans="1:11" x14ac:dyDescent="0.35">
      <c r="A18" s="10">
        <v>1999</v>
      </c>
      <c r="B18">
        <v>114</v>
      </c>
      <c r="C18">
        <v>45</v>
      </c>
      <c r="G18" s="10">
        <v>1999</v>
      </c>
      <c r="H18">
        <v>5.3540000000000001</v>
      </c>
      <c r="J18" s="10">
        <v>1999</v>
      </c>
      <c r="K18">
        <v>2.9907654940184689</v>
      </c>
    </row>
    <row r="19" spans="1:11" x14ac:dyDescent="0.35">
      <c r="A19" s="10">
        <v>2000</v>
      </c>
      <c r="B19">
        <v>106</v>
      </c>
      <c r="C19">
        <v>53</v>
      </c>
      <c r="G19" s="10">
        <v>2000</v>
      </c>
      <c r="H19">
        <v>12.670999999999999</v>
      </c>
      <c r="J19" s="10">
        <v>2000</v>
      </c>
      <c r="K19">
        <v>2.7946997890345369</v>
      </c>
    </row>
    <row r="20" spans="1:11" x14ac:dyDescent="0.35">
      <c r="A20" s="10">
        <v>2001</v>
      </c>
      <c r="B20">
        <v>23</v>
      </c>
      <c r="C20">
        <v>13</v>
      </c>
      <c r="G20" s="10">
        <v>2001</v>
      </c>
      <c r="H20">
        <v>1.583</v>
      </c>
      <c r="J20" s="10">
        <v>2001</v>
      </c>
      <c r="K20">
        <v>2.5902906202539144</v>
      </c>
    </row>
    <row r="21" spans="1:11" x14ac:dyDescent="0.35">
      <c r="A21" s="10">
        <v>2002</v>
      </c>
      <c r="B21">
        <v>66</v>
      </c>
      <c r="C21">
        <v>31</v>
      </c>
      <c r="G21" s="10">
        <v>2002</v>
      </c>
      <c r="H21">
        <v>15.805</v>
      </c>
      <c r="J21" s="10">
        <v>2002</v>
      </c>
      <c r="K21">
        <v>2.4256159925615992</v>
      </c>
    </row>
    <row r="22" spans="1:11" x14ac:dyDescent="0.35">
      <c r="A22" s="10">
        <v>2003</v>
      </c>
      <c r="B22">
        <v>25</v>
      </c>
      <c r="C22">
        <v>5</v>
      </c>
      <c r="G22" s="10">
        <v>2003</v>
      </c>
      <c r="H22">
        <v>23.501000000000001</v>
      </c>
      <c r="J22" s="10">
        <v>2003</v>
      </c>
      <c r="K22">
        <v>2.7223869552226621</v>
      </c>
    </row>
    <row r="23" spans="1:11" x14ac:dyDescent="0.35">
      <c r="A23" s="10">
        <v>2004</v>
      </c>
      <c r="B23">
        <v>48.454000000000001</v>
      </c>
      <c r="C23">
        <v>38.523000000000003</v>
      </c>
      <c r="G23" s="10">
        <v>2004</v>
      </c>
      <c r="H23">
        <v>10.516</v>
      </c>
      <c r="J23" s="10">
        <v>2004</v>
      </c>
      <c r="K23">
        <v>2.2595853495910205</v>
      </c>
    </row>
    <row r="24" spans="1:11" x14ac:dyDescent="0.35">
      <c r="A24" s="10">
        <v>2006</v>
      </c>
      <c r="B24">
        <v>58</v>
      </c>
      <c r="C24">
        <v>46</v>
      </c>
      <c r="G24" s="10">
        <v>2006</v>
      </c>
      <c r="H24">
        <v>12.369</v>
      </c>
      <c r="J24" s="10">
        <v>2006</v>
      </c>
      <c r="K24">
        <v>1.738935094243008</v>
      </c>
    </row>
    <row r="25" spans="1:11" x14ac:dyDescent="0.35">
      <c r="A25" s="10">
        <v>2007</v>
      </c>
      <c r="B25">
        <v>33.290999999999997</v>
      </c>
      <c r="C25">
        <v>7.0919999999999996</v>
      </c>
      <c r="G25" s="10">
        <v>2007</v>
      </c>
      <c r="H25">
        <v>11.773999999999999</v>
      </c>
      <c r="J25" s="10">
        <v>2007</v>
      </c>
      <c r="K25">
        <v>1.9266843575501542</v>
      </c>
    </row>
    <row r="26" spans="1:11" x14ac:dyDescent="0.35">
      <c r="A26" s="10">
        <v>2008</v>
      </c>
      <c r="B26">
        <v>73.159000000000006</v>
      </c>
      <c r="C26">
        <v>42.914000000000001</v>
      </c>
      <c r="G26" s="10">
        <v>2008</v>
      </c>
      <c r="H26">
        <v>23.632999999999999</v>
      </c>
      <c r="J26" s="10">
        <v>2008</v>
      </c>
      <c r="K26">
        <v>2.1400702761033656</v>
      </c>
    </row>
    <row r="27" spans="1:11" x14ac:dyDescent="0.35">
      <c r="A27" s="10">
        <v>2009</v>
      </c>
      <c r="B27">
        <v>76.382999999999996</v>
      </c>
      <c r="C27">
        <v>58.661000000000001</v>
      </c>
      <c r="G27" s="10">
        <v>2009</v>
      </c>
      <c r="H27">
        <v>29.577000000000002</v>
      </c>
      <c r="J27" s="10">
        <v>2009</v>
      </c>
      <c r="K27">
        <v>2.3759841962596266</v>
      </c>
    </row>
    <row r="28" spans="1:11" x14ac:dyDescent="0.35">
      <c r="A28" s="10">
        <v>2010</v>
      </c>
      <c r="B28">
        <v>75.328999999999994</v>
      </c>
      <c r="C28">
        <v>57.475000000000001</v>
      </c>
      <c r="G28" s="10">
        <v>2010</v>
      </c>
      <c r="H28">
        <v>32.767000000000003</v>
      </c>
      <c r="J28" s="10">
        <v>2010</v>
      </c>
      <c r="K28">
        <v>2.0910409188325034</v>
      </c>
    </row>
    <row r="29" spans="1:11" x14ac:dyDescent="0.35">
      <c r="A29" s="10">
        <v>2011</v>
      </c>
      <c r="B29">
        <v>70</v>
      </c>
      <c r="C29">
        <v>49</v>
      </c>
      <c r="G29" s="10">
        <v>2011</v>
      </c>
      <c r="H29">
        <v>32.591000000000001</v>
      </c>
      <c r="J29" s="10">
        <v>2011</v>
      </c>
      <c r="K29">
        <v>2.1189230068096188</v>
      </c>
    </row>
    <row r="30" spans="1:11" x14ac:dyDescent="0.35">
      <c r="A30" s="10">
        <v>2012</v>
      </c>
      <c r="B30">
        <v>52</v>
      </c>
      <c r="C30">
        <v>24</v>
      </c>
      <c r="G30" s="10">
        <v>2012</v>
      </c>
      <c r="H30">
        <v>24.021000000000001</v>
      </c>
      <c r="J30" s="10">
        <v>2012</v>
      </c>
      <c r="K30">
        <v>2.3148110827157962</v>
      </c>
    </row>
    <row r="31" spans="1:11" x14ac:dyDescent="0.35">
      <c r="A31" s="10">
        <v>2013</v>
      </c>
      <c r="B31">
        <v>62</v>
      </c>
      <c r="C31">
        <v>34</v>
      </c>
      <c r="G31" s="10">
        <v>2013</v>
      </c>
      <c r="H31">
        <v>10.231</v>
      </c>
      <c r="J31" s="10">
        <v>2013</v>
      </c>
      <c r="K31">
        <v>1.9935432232723445</v>
      </c>
    </row>
    <row r="32" spans="1:11" x14ac:dyDescent="0.35">
      <c r="A32" s="10">
        <v>2014</v>
      </c>
      <c r="B32">
        <v>65</v>
      </c>
      <c r="C32">
        <v>50</v>
      </c>
      <c r="G32" s="10">
        <v>2014</v>
      </c>
      <c r="H32">
        <v>14.31</v>
      </c>
      <c r="J32" s="10">
        <v>2014</v>
      </c>
      <c r="K32">
        <v>1.8195983525325894</v>
      </c>
    </row>
    <row r="33" spans="1:11" x14ac:dyDescent="0.35">
      <c r="A33" s="10">
        <v>2015</v>
      </c>
      <c r="B33">
        <v>23</v>
      </c>
      <c r="C33">
        <v>8</v>
      </c>
      <c r="G33" s="10">
        <v>2015</v>
      </c>
      <c r="H33">
        <v>35.508000000000003</v>
      </c>
      <c r="J33" s="10">
        <v>2015</v>
      </c>
      <c r="K33">
        <v>1.9477648675882884</v>
      </c>
    </row>
    <row r="34" spans="1:11" x14ac:dyDescent="0.35">
      <c r="A34" s="10">
        <v>2017</v>
      </c>
      <c r="B34">
        <v>24</v>
      </c>
      <c r="C34">
        <v>17</v>
      </c>
      <c r="G34" s="10">
        <v>2017</v>
      </c>
      <c r="H34">
        <v>5.9749999999999996</v>
      </c>
      <c r="J34" s="10">
        <v>2017</v>
      </c>
      <c r="K34">
        <v>1.8419939490754045</v>
      </c>
    </row>
    <row r="35" spans="1:11" x14ac:dyDescent="0.35">
      <c r="A35" s="10">
        <v>2019</v>
      </c>
      <c r="B35">
        <v>17</v>
      </c>
      <c r="C35">
        <v>5</v>
      </c>
      <c r="G35" s="10">
        <v>2019</v>
      </c>
      <c r="H35">
        <v>0.82599999999999996</v>
      </c>
      <c r="J35" s="10">
        <v>2019</v>
      </c>
      <c r="K35">
        <v>2.0871641141501707</v>
      </c>
    </row>
    <row r="36" spans="1:11" x14ac:dyDescent="0.35">
      <c r="A36" s="10" t="s">
        <v>1</v>
      </c>
      <c r="B36">
        <v>3514.0160000000001</v>
      </c>
      <c r="C36">
        <v>2218.8649999999998</v>
      </c>
      <c r="G36" s="10" t="s">
        <v>1</v>
      </c>
      <c r="H36">
        <v>755.50100000000009</v>
      </c>
      <c r="J36" s="10" t="s">
        <v>1</v>
      </c>
      <c r="K36">
        <v>142.25913551913888</v>
      </c>
    </row>
  </sheetData>
  <sheetProtection algorithmName="SHA-512" hashValue="PXpDOJfflk1+0MlNxRDMzW4cMcBkJfA50+j0+TMo40NxxUlUFO2bZJibRYuYqcVsoZPMIudJbjqgGK4dDIEs9Q==" saltValue="a3zs52VzJSGja4E2ChH3Zg==" spinCount="100000" sheet="1" selectLockedCells="1" pivotTables="0"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AF1F5-F203-4307-B65D-90DFB4D43E83}">
  <sheetPr codeName="Sheet3"/>
  <dimension ref="A1:H36"/>
  <sheetViews>
    <sheetView workbookViewId="0">
      <selection activeCell="D7" sqref="D7"/>
    </sheetView>
  </sheetViews>
  <sheetFormatPr defaultRowHeight="14.5" x14ac:dyDescent="0.35"/>
  <cols>
    <col min="1" max="1" width="11.90625" bestFit="1" customWidth="1"/>
    <col min="2" max="5" width="13.90625" bestFit="1" customWidth="1"/>
    <col min="7" max="7" width="11.90625" bestFit="1" customWidth="1"/>
    <col min="8" max="8" width="13.90625" bestFit="1" customWidth="1"/>
  </cols>
  <sheetData>
    <row r="1" spans="1:8" x14ac:dyDescent="0.35">
      <c r="A1" s="9" t="s">
        <v>0</v>
      </c>
      <c r="B1" t="s">
        <v>3</v>
      </c>
      <c r="C1" t="s">
        <v>8</v>
      </c>
      <c r="G1" s="9" t="s">
        <v>0</v>
      </c>
      <c r="H1" t="s">
        <v>6</v>
      </c>
    </row>
    <row r="2" spans="1:8" x14ac:dyDescent="0.35">
      <c r="A2" s="10">
        <v>1980</v>
      </c>
      <c r="B2">
        <v>80</v>
      </c>
      <c r="C2">
        <v>47</v>
      </c>
      <c r="G2" s="10">
        <v>1980</v>
      </c>
      <c r="H2">
        <v>12</v>
      </c>
    </row>
    <row r="3" spans="1:8" x14ac:dyDescent="0.35">
      <c r="A3" s="10">
        <v>1981</v>
      </c>
      <c r="B3">
        <v>87</v>
      </c>
      <c r="C3">
        <v>59</v>
      </c>
      <c r="G3" s="10">
        <v>1981</v>
      </c>
      <c r="H3">
        <v>22</v>
      </c>
    </row>
    <row r="4" spans="1:8" x14ac:dyDescent="0.35">
      <c r="A4" s="10">
        <v>1982</v>
      </c>
      <c r="B4">
        <v>64</v>
      </c>
      <c r="C4">
        <v>24</v>
      </c>
      <c r="G4" s="10">
        <v>1982</v>
      </c>
      <c r="H4">
        <v>13</v>
      </c>
    </row>
    <row r="5" spans="1:8" x14ac:dyDescent="0.35">
      <c r="A5" s="10">
        <v>1983</v>
      </c>
      <c r="B5">
        <v>61</v>
      </c>
      <c r="C5">
        <v>20</v>
      </c>
      <c r="G5" s="10">
        <v>1983</v>
      </c>
      <c r="H5">
        <v>9</v>
      </c>
    </row>
    <row r="6" spans="1:8" x14ac:dyDescent="0.35">
      <c r="A6" s="10">
        <v>1984</v>
      </c>
      <c r="B6">
        <v>48</v>
      </c>
      <c r="C6">
        <v>3</v>
      </c>
      <c r="G6" s="10">
        <v>1984</v>
      </c>
      <c r="H6">
        <v>0.5</v>
      </c>
    </row>
    <row r="7" spans="1:8" x14ac:dyDescent="0.35">
      <c r="A7" s="10">
        <v>1985</v>
      </c>
      <c r="B7">
        <v>49</v>
      </c>
      <c r="C7">
        <v>8</v>
      </c>
      <c r="G7" s="10">
        <v>1985</v>
      </c>
      <c r="H7">
        <v>1.5</v>
      </c>
    </row>
    <row r="8" spans="1:8" x14ac:dyDescent="0.35">
      <c r="A8" s="10">
        <v>1986</v>
      </c>
      <c r="B8">
        <v>41.6</v>
      </c>
      <c r="C8">
        <v>7.6</v>
      </c>
      <c r="G8" s="10">
        <v>1986</v>
      </c>
      <c r="H8">
        <v>1.91</v>
      </c>
    </row>
    <row r="9" spans="1:8" x14ac:dyDescent="0.35">
      <c r="A9" s="10">
        <v>1987</v>
      </c>
      <c r="B9">
        <v>43.3</v>
      </c>
      <c r="C9">
        <v>3.2</v>
      </c>
      <c r="G9" s="10">
        <v>1987</v>
      </c>
      <c r="H9">
        <v>0.215</v>
      </c>
    </row>
    <row r="10" spans="1:8" x14ac:dyDescent="0.35">
      <c r="A10" s="10">
        <v>1988</v>
      </c>
      <c r="B10">
        <v>37.299999999999997</v>
      </c>
      <c r="C10">
        <v>29.9</v>
      </c>
      <c r="G10" s="10">
        <v>1988</v>
      </c>
      <c r="H10">
        <v>4.84</v>
      </c>
    </row>
    <row r="11" spans="1:8" x14ac:dyDescent="0.35">
      <c r="A11" s="10">
        <v>1989</v>
      </c>
      <c r="B11">
        <v>76</v>
      </c>
      <c r="C11">
        <v>45</v>
      </c>
      <c r="G11" s="10">
        <v>1989</v>
      </c>
      <c r="H11">
        <v>9.7650000000000006</v>
      </c>
    </row>
    <row r="12" spans="1:8" x14ac:dyDescent="0.35">
      <c r="A12" s="10">
        <v>1990</v>
      </c>
      <c r="B12">
        <v>80</v>
      </c>
      <c r="C12">
        <v>41</v>
      </c>
      <c r="G12" s="10">
        <v>1990</v>
      </c>
      <c r="H12">
        <v>12</v>
      </c>
    </row>
    <row r="13" spans="1:8" x14ac:dyDescent="0.35">
      <c r="A13" s="10">
        <v>1993</v>
      </c>
      <c r="B13">
        <v>85</v>
      </c>
      <c r="C13">
        <v>22</v>
      </c>
      <c r="G13" s="10">
        <v>1993</v>
      </c>
      <c r="H13">
        <v>2.976</v>
      </c>
    </row>
    <row r="14" spans="1:8" x14ac:dyDescent="0.35">
      <c r="A14" s="10">
        <v>1995</v>
      </c>
      <c r="B14">
        <v>86</v>
      </c>
      <c r="C14">
        <v>20</v>
      </c>
      <c r="G14" s="10">
        <v>1995</v>
      </c>
      <c r="H14">
        <v>18.952999999999999</v>
      </c>
    </row>
    <row r="15" spans="1:8" x14ac:dyDescent="0.35">
      <c r="A15" s="10">
        <v>1996</v>
      </c>
      <c r="B15">
        <v>134</v>
      </c>
      <c r="C15">
        <v>100</v>
      </c>
      <c r="G15" s="10">
        <v>1996</v>
      </c>
      <c r="H15">
        <v>24.629000000000001</v>
      </c>
    </row>
    <row r="16" spans="1:8" x14ac:dyDescent="0.35">
      <c r="A16" s="10">
        <v>1997</v>
      </c>
      <c r="B16">
        <v>117</v>
      </c>
      <c r="C16">
        <v>79</v>
      </c>
      <c r="G16" s="10">
        <v>1997</v>
      </c>
      <c r="H16">
        <v>22.646999999999998</v>
      </c>
    </row>
    <row r="17" spans="1:8" x14ac:dyDescent="0.35">
      <c r="A17" s="10">
        <v>1998</v>
      </c>
      <c r="B17">
        <v>88</v>
      </c>
      <c r="C17">
        <v>24</v>
      </c>
      <c r="G17" s="10">
        <v>1998</v>
      </c>
      <c r="H17">
        <v>2.2330000000000001</v>
      </c>
    </row>
    <row r="18" spans="1:8" x14ac:dyDescent="0.35">
      <c r="A18" s="10">
        <v>1999</v>
      </c>
      <c r="B18">
        <v>123</v>
      </c>
      <c r="C18">
        <v>34</v>
      </c>
      <c r="G18" s="10">
        <v>1999</v>
      </c>
      <c r="H18">
        <v>3.7519999999999998</v>
      </c>
    </row>
    <row r="19" spans="1:8" x14ac:dyDescent="0.35">
      <c r="A19" s="10">
        <v>2000</v>
      </c>
      <c r="B19">
        <v>123</v>
      </c>
      <c r="C19">
        <v>78</v>
      </c>
      <c r="G19" s="10">
        <v>2000</v>
      </c>
      <c r="H19">
        <v>19.962</v>
      </c>
    </row>
    <row r="20" spans="1:8" x14ac:dyDescent="0.35">
      <c r="A20" s="10">
        <v>2001</v>
      </c>
      <c r="B20">
        <v>48</v>
      </c>
      <c r="C20">
        <v>25</v>
      </c>
      <c r="G20" s="10">
        <v>2001</v>
      </c>
      <c r="H20">
        <v>4.976</v>
      </c>
    </row>
    <row r="21" spans="1:8" x14ac:dyDescent="0.35">
      <c r="A21" s="10">
        <v>2002</v>
      </c>
      <c r="B21">
        <v>95</v>
      </c>
      <c r="C21">
        <v>35</v>
      </c>
      <c r="G21" s="10">
        <v>2002</v>
      </c>
      <c r="H21">
        <v>16.446999999999999</v>
      </c>
    </row>
    <row r="22" spans="1:8" x14ac:dyDescent="0.35">
      <c r="A22" s="10">
        <v>2003</v>
      </c>
      <c r="B22">
        <v>38</v>
      </c>
      <c r="C22">
        <v>8</v>
      </c>
      <c r="G22" s="10">
        <v>2003</v>
      </c>
      <c r="H22">
        <v>1.633</v>
      </c>
    </row>
    <row r="23" spans="1:8" x14ac:dyDescent="0.35">
      <c r="A23" s="10">
        <v>2004</v>
      </c>
      <c r="B23">
        <v>62.664000000000001</v>
      </c>
      <c r="C23">
        <v>42.621000000000002</v>
      </c>
      <c r="G23" s="10">
        <v>2004</v>
      </c>
      <c r="H23">
        <v>7.2169999999999996</v>
      </c>
    </row>
    <row r="24" spans="1:8" x14ac:dyDescent="0.35">
      <c r="A24" s="10">
        <v>2006</v>
      </c>
      <c r="B24">
        <v>78</v>
      </c>
      <c r="C24">
        <v>60</v>
      </c>
      <c r="G24" s="10">
        <v>2006</v>
      </c>
      <c r="H24">
        <v>14.896000000000001</v>
      </c>
    </row>
    <row r="25" spans="1:8" x14ac:dyDescent="0.35">
      <c r="A25" s="10">
        <v>2007</v>
      </c>
      <c r="B25">
        <v>40.75</v>
      </c>
      <c r="C25">
        <v>8.3940000000000001</v>
      </c>
      <c r="G25" s="10">
        <v>2007</v>
      </c>
      <c r="H25">
        <v>2.149</v>
      </c>
    </row>
    <row r="26" spans="1:8" x14ac:dyDescent="0.35">
      <c r="A26" s="10">
        <v>2008</v>
      </c>
      <c r="B26">
        <v>88.614000000000004</v>
      </c>
      <c r="C26">
        <v>48.662999999999997</v>
      </c>
      <c r="G26" s="10">
        <v>2008</v>
      </c>
      <c r="H26">
        <v>8.9670000000000005</v>
      </c>
    </row>
    <row r="27" spans="1:8" x14ac:dyDescent="0.35">
      <c r="A27" s="10">
        <v>2009</v>
      </c>
      <c r="B27">
        <v>118.932</v>
      </c>
      <c r="C27">
        <v>82.71</v>
      </c>
      <c r="G27" s="10">
        <v>2009</v>
      </c>
      <c r="H27">
        <v>20.091999999999999</v>
      </c>
    </row>
    <row r="28" spans="1:8" x14ac:dyDescent="0.35">
      <c r="A28" s="10">
        <v>2010</v>
      </c>
      <c r="B28">
        <v>110.081</v>
      </c>
      <c r="C28">
        <v>65.388000000000005</v>
      </c>
      <c r="G28" s="10">
        <v>2010</v>
      </c>
      <c r="H28">
        <v>10.571999999999999</v>
      </c>
    </row>
    <row r="29" spans="1:8" x14ac:dyDescent="0.35">
      <c r="A29" s="10">
        <v>2011</v>
      </c>
      <c r="B29">
        <v>151</v>
      </c>
      <c r="C29">
        <v>101</v>
      </c>
      <c r="G29" s="10">
        <v>2011</v>
      </c>
      <c r="H29">
        <v>29.234999999999999</v>
      </c>
    </row>
    <row r="30" spans="1:8" x14ac:dyDescent="0.35">
      <c r="A30" s="10">
        <v>2012</v>
      </c>
      <c r="B30">
        <v>141</v>
      </c>
      <c r="C30">
        <v>56</v>
      </c>
      <c r="G30" s="10">
        <v>2012</v>
      </c>
      <c r="H30">
        <v>7.6769999999999996</v>
      </c>
    </row>
    <row r="31" spans="1:8" x14ac:dyDescent="0.35">
      <c r="A31" s="10">
        <v>2013</v>
      </c>
      <c r="B31">
        <v>124</v>
      </c>
      <c r="C31">
        <v>44</v>
      </c>
      <c r="G31" s="10">
        <v>2013</v>
      </c>
      <c r="H31">
        <v>3.8439999999999999</v>
      </c>
    </row>
    <row r="32" spans="1:8" x14ac:dyDescent="0.35">
      <c r="A32" s="10">
        <v>2014</v>
      </c>
      <c r="B32">
        <v>130</v>
      </c>
      <c r="C32">
        <v>104</v>
      </c>
      <c r="G32" s="10">
        <v>2014</v>
      </c>
      <c r="H32">
        <v>28.55</v>
      </c>
    </row>
    <row r="33" spans="1:8" x14ac:dyDescent="0.35">
      <c r="A33" s="10">
        <v>2015</v>
      </c>
      <c r="B33">
        <v>62</v>
      </c>
      <c r="C33">
        <v>13</v>
      </c>
      <c r="G33" s="10">
        <v>2015</v>
      </c>
      <c r="H33">
        <v>3.7919999999999998</v>
      </c>
    </row>
    <row r="34" spans="1:8" x14ac:dyDescent="0.35">
      <c r="A34" s="10">
        <v>2017</v>
      </c>
      <c r="B34">
        <v>62</v>
      </c>
      <c r="C34">
        <v>51</v>
      </c>
      <c r="G34" s="10">
        <v>2017</v>
      </c>
      <c r="H34">
        <v>13.911</v>
      </c>
    </row>
    <row r="35" spans="1:8" x14ac:dyDescent="0.35">
      <c r="A35" s="10">
        <v>2019</v>
      </c>
      <c r="B35">
        <v>39</v>
      </c>
      <c r="C35">
        <v>7</v>
      </c>
      <c r="G35" s="10">
        <v>2019</v>
      </c>
      <c r="H35">
        <v>0.98699999999999999</v>
      </c>
    </row>
    <row r="36" spans="1:8" x14ac:dyDescent="0.35">
      <c r="A36" s="10" t="s">
        <v>1</v>
      </c>
      <c r="B36">
        <v>2812.241</v>
      </c>
      <c r="C36">
        <v>1396.4760000000001</v>
      </c>
      <c r="G36" s="10" t="s">
        <v>1</v>
      </c>
      <c r="H36">
        <v>356.82700000000011</v>
      </c>
    </row>
  </sheetData>
  <sheetProtection algorithmName="SHA-512" hashValue="aeLZDQEbnzd+vYqJXqhj8ccfU4RMONLGyEM6OpWR+/pi0RNImW9Z29ddW6QGDjsMTZDrrgmxbTXpoDWJczr9PA==" saltValue="NuMgaKE4HsL2VJD1MgOSew==" spinCount="100000" sheet="1" selectLockedCells="1" pivotTables="0" selectUn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7DB69-487D-4C26-B8D7-B4FE812392D5}">
  <sheetPr codeName="Sheet4"/>
  <dimension ref="A1"/>
  <sheetViews>
    <sheetView showGridLines="0" tabSelected="1" zoomScale="70" zoomScaleNormal="70" workbookViewId="0">
      <selection activeCell="G3" sqref="G3"/>
    </sheetView>
  </sheetViews>
  <sheetFormatPr defaultRowHeight="14.5" x14ac:dyDescent="0.35"/>
  <cols>
    <col min="1" max="16384" width="8.7265625" style="11"/>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A0AFA-70A6-45F6-B803-86CE49909844}">
  <sheetPr codeName="Sheet5"/>
  <dimension ref="A1:H36"/>
  <sheetViews>
    <sheetView workbookViewId="0">
      <selection activeCell="E8" sqref="E8"/>
    </sheetView>
  </sheetViews>
  <sheetFormatPr defaultRowHeight="14.5" x14ac:dyDescent="0.35"/>
  <cols>
    <col min="1" max="1" width="11.90625" bestFit="1" customWidth="1"/>
    <col min="2" max="5" width="13.90625" bestFit="1" customWidth="1"/>
    <col min="7" max="7" width="11.90625" bestFit="1" customWidth="1"/>
    <col min="8" max="8" width="14.90625" bestFit="1" customWidth="1"/>
  </cols>
  <sheetData>
    <row r="1" spans="1:8" x14ac:dyDescent="0.35">
      <c r="A1" s="9" t="s">
        <v>0</v>
      </c>
      <c r="B1" t="s">
        <v>4</v>
      </c>
      <c r="C1" t="s">
        <v>7</v>
      </c>
      <c r="G1" s="9" t="s">
        <v>0</v>
      </c>
      <c r="H1" t="s">
        <v>11</v>
      </c>
    </row>
    <row r="2" spans="1:8" x14ac:dyDescent="0.35">
      <c r="A2" s="10">
        <v>1980</v>
      </c>
      <c r="B2">
        <v>17</v>
      </c>
      <c r="C2">
        <v>14</v>
      </c>
      <c r="G2" s="10">
        <v>1980</v>
      </c>
      <c r="H2">
        <v>3</v>
      </c>
    </row>
    <row r="3" spans="1:8" x14ac:dyDescent="0.35">
      <c r="A3" s="10">
        <v>1981</v>
      </c>
      <c r="B3">
        <v>20</v>
      </c>
      <c r="C3">
        <v>13</v>
      </c>
      <c r="G3" s="10">
        <v>1981</v>
      </c>
      <c r="H3">
        <v>2</v>
      </c>
    </row>
    <row r="4" spans="1:8" x14ac:dyDescent="0.35">
      <c r="A4" s="10">
        <v>1982</v>
      </c>
      <c r="B4">
        <v>16</v>
      </c>
      <c r="C4">
        <v>4</v>
      </c>
      <c r="G4" s="10">
        <v>1982</v>
      </c>
      <c r="H4">
        <v>0.5</v>
      </c>
    </row>
    <row r="5" spans="1:8" x14ac:dyDescent="0.35">
      <c r="A5" s="10">
        <v>1983</v>
      </c>
      <c r="B5">
        <v>17</v>
      </c>
      <c r="C5">
        <v>6</v>
      </c>
      <c r="G5" s="10">
        <v>1983</v>
      </c>
      <c r="H5">
        <v>0.5</v>
      </c>
    </row>
    <row r="6" spans="1:8" x14ac:dyDescent="0.35">
      <c r="A6" s="10">
        <v>1984</v>
      </c>
      <c r="B6">
        <v>17</v>
      </c>
      <c r="C6">
        <v>8</v>
      </c>
      <c r="G6" s="10">
        <v>1984</v>
      </c>
      <c r="H6">
        <v>0.7</v>
      </c>
    </row>
    <row r="7" spans="1:8" x14ac:dyDescent="0.35">
      <c r="A7" s="10">
        <v>1985</v>
      </c>
      <c r="B7">
        <v>16</v>
      </c>
      <c r="C7">
        <v>10</v>
      </c>
      <c r="G7" s="10">
        <v>1985</v>
      </c>
      <c r="H7">
        <v>1.8</v>
      </c>
    </row>
    <row r="8" spans="1:8" x14ac:dyDescent="0.35">
      <c r="A8" s="10">
        <v>1986</v>
      </c>
      <c r="B8">
        <v>17.399999999999999</v>
      </c>
      <c r="C8">
        <v>10.1</v>
      </c>
      <c r="G8" s="10">
        <v>1986</v>
      </c>
      <c r="H8">
        <v>1.29</v>
      </c>
    </row>
    <row r="9" spans="1:8" x14ac:dyDescent="0.35">
      <c r="A9" s="10">
        <v>1987</v>
      </c>
      <c r="B9">
        <v>14</v>
      </c>
      <c r="C9">
        <v>5.4</v>
      </c>
      <c r="G9" s="10">
        <v>1987</v>
      </c>
      <c r="H9">
        <v>0.36</v>
      </c>
    </row>
    <row r="10" spans="1:8" x14ac:dyDescent="0.35">
      <c r="A10" s="10">
        <v>1988</v>
      </c>
      <c r="B10">
        <v>13</v>
      </c>
      <c r="C10">
        <v>9</v>
      </c>
      <c r="G10" s="10">
        <v>1988</v>
      </c>
      <c r="H10">
        <v>2.8650000000000002</v>
      </c>
    </row>
    <row r="11" spans="1:8" x14ac:dyDescent="0.35">
      <c r="A11" s="10">
        <v>1989</v>
      </c>
      <c r="B11">
        <v>20.3</v>
      </c>
      <c r="C11">
        <v>11.4</v>
      </c>
      <c r="G11" s="10">
        <v>1989</v>
      </c>
      <c r="H11">
        <v>1.94</v>
      </c>
    </row>
    <row r="12" spans="1:8" x14ac:dyDescent="0.35">
      <c r="A12" s="10">
        <v>1990</v>
      </c>
      <c r="B12">
        <v>12</v>
      </c>
      <c r="C12">
        <v>9</v>
      </c>
      <c r="G12" s="10">
        <v>1990</v>
      </c>
      <c r="H12">
        <v>1.7</v>
      </c>
    </row>
    <row r="13" spans="1:8" x14ac:dyDescent="0.35">
      <c r="A13" s="10">
        <v>1993</v>
      </c>
      <c r="B13">
        <v>15</v>
      </c>
      <c r="C13">
        <v>11</v>
      </c>
      <c r="G13" s="10">
        <v>1993</v>
      </c>
      <c r="H13">
        <v>1.6240000000000001</v>
      </c>
    </row>
    <row r="14" spans="1:8" x14ac:dyDescent="0.35">
      <c r="A14" s="10">
        <v>1995</v>
      </c>
      <c r="B14">
        <v>14</v>
      </c>
      <c r="C14">
        <v>7</v>
      </c>
      <c r="G14" s="10">
        <v>1995</v>
      </c>
      <c r="H14">
        <v>19.39</v>
      </c>
    </row>
    <row r="15" spans="1:8" x14ac:dyDescent="0.35">
      <c r="A15" s="10">
        <v>1996</v>
      </c>
      <c r="B15">
        <v>11</v>
      </c>
      <c r="C15">
        <v>9</v>
      </c>
      <c r="G15" s="10">
        <v>1996</v>
      </c>
      <c r="H15">
        <v>2.508</v>
      </c>
    </row>
    <row r="16" spans="1:8" x14ac:dyDescent="0.35">
      <c r="A16" s="10">
        <v>1997</v>
      </c>
      <c r="B16">
        <v>11</v>
      </c>
      <c r="C16">
        <v>8</v>
      </c>
      <c r="G16" s="10">
        <v>1997</v>
      </c>
      <c r="H16">
        <v>1.357</v>
      </c>
    </row>
    <row r="17" spans="1:8" x14ac:dyDescent="0.35">
      <c r="A17" s="10">
        <v>1998</v>
      </c>
      <c r="B17">
        <v>9</v>
      </c>
      <c r="C17">
        <v>5</v>
      </c>
      <c r="G17" s="10">
        <v>1998</v>
      </c>
      <c r="H17">
        <v>0.50700000000000001</v>
      </c>
    </row>
    <row r="18" spans="1:8" x14ac:dyDescent="0.35">
      <c r="A18" s="10">
        <v>1999</v>
      </c>
      <c r="B18">
        <v>8</v>
      </c>
      <c r="C18">
        <v>5</v>
      </c>
      <c r="G18" s="10">
        <v>1999</v>
      </c>
      <c r="H18">
        <v>0.86</v>
      </c>
    </row>
    <row r="19" spans="1:8" x14ac:dyDescent="0.35">
      <c r="A19" s="10">
        <v>2000</v>
      </c>
      <c r="B19">
        <v>5</v>
      </c>
      <c r="C19">
        <v>3</v>
      </c>
      <c r="G19" s="10">
        <v>2000</v>
      </c>
      <c r="H19">
        <v>0.439</v>
      </c>
    </row>
    <row r="20" spans="1:8" x14ac:dyDescent="0.35">
      <c r="A20" s="10">
        <v>2001</v>
      </c>
      <c r="B20">
        <v>3</v>
      </c>
      <c r="C20">
        <v>2</v>
      </c>
      <c r="G20" s="10">
        <v>2001</v>
      </c>
      <c r="H20">
        <v>0.47199999999999998</v>
      </c>
    </row>
    <row r="21" spans="1:8" x14ac:dyDescent="0.35">
      <c r="A21" s="10">
        <v>2002</v>
      </c>
      <c r="B21">
        <v>3</v>
      </c>
      <c r="C21">
        <v>0</v>
      </c>
      <c r="G21" s="10">
        <v>2002</v>
      </c>
      <c r="H21">
        <v>5.3999999999999999E-2</v>
      </c>
    </row>
    <row r="22" spans="1:8" x14ac:dyDescent="0.35">
      <c r="A22" s="10">
        <v>2003</v>
      </c>
      <c r="B22">
        <v>3</v>
      </c>
      <c r="C22">
        <v>1</v>
      </c>
      <c r="G22" s="10">
        <v>2003</v>
      </c>
      <c r="H22">
        <v>9.0999999999999998E-2</v>
      </c>
    </row>
    <row r="23" spans="1:8" x14ac:dyDescent="0.35">
      <c r="A23" s="10">
        <v>2004</v>
      </c>
      <c r="B23">
        <v>7.077</v>
      </c>
      <c r="C23">
        <v>6.391</v>
      </c>
      <c r="G23" s="10">
        <v>2004</v>
      </c>
      <c r="H23">
        <v>2.681</v>
      </c>
    </row>
    <row r="24" spans="1:8" x14ac:dyDescent="0.35">
      <c r="A24" s="10">
        <v>2006</v>
      </c>
      <c r="B24">
        <v>7</v>
      </c>
      <c r="C24">
        <v>6</v>
      </c>
      <c r="G24" s="10">
        <v>2006</v>
      </c>
      <c r="H24">
        <v>3.2010000000000001</v>
      </c>
    </row>
    <row r="25" spans="1:8" x14ac:dyDescent="0.35">
      <c r="A25" s="10">
        <v>2007</v>
      </c>
      <c r="B25">
        <v>6.01</v>
      </c>
      <c r="C25">
        <v>2.33</v>
      </c>
      <c r="G25" s="10">
        <v>2007</v>
      </c>
      <c r="H25">
        <v>0.53200000000000003</v>
      </c>
    </row>
    <row r="26" spans="1:8" x14ac:dyDescent="0.35">
      <c r="A26" s="10">
        <v>2008</v>
      </c>
      <c r="B26">
        <v>11.348000000000001</v>
      </c>
      <c r="C26">
        <v>7.65</v>
      </c>
      <c r="G26" s="10">
        <v>2008</v>
      </c>
      <c r="H26">
        <v>1.637</v>
      </c>
    </row>
    <row r="27" spans="1:8" x14ac:dyDescent="0.35">
      <c r="A27" s="10">
        <v>2009</v>
      </c>
      <c r="B27">
        <v>9.8010000000000002</v>
      </c>
      <c r="C27">
        <v>8.1359999999999992</v>
      </c>
      <c r="G27" s="10">
        <v>2009</v>
      </c>
      <c r="H27">
        <v>2.7669999999999999</v>
      </c>
    </row>
    <row r="28" spans="1:8" x14ac:dyDescent="0.35">
      <c r="A28" s="10">
        <v>2010</v>
      </c>
      <c r="B28">
        <v>10.842000000000001</v>
      </c>
      <c r="C28">
        <v>9.4760000000000009</v>
      </c>
      <c r="G28" s="10">
        <v>2010</v>
      </c>
      <c r="H28">
        <v>3.4060000000000001</v>
      </c>
    </row>
    <row r="29" spans="1:8" x14ac:dyDescent="0.35">
      <c r="A29" s="10">
        <v>2011</v>
      </c>
      <c r="B29">
        <v>13</v>
      </c>
      <c r="C29">
        <v>11</v>
      </c>
      <c r="G29" s="10">
        <v>2011</v>
      </c>
      <c r="H29">
        <v>2.5110000000000001</v>
      </c>
    </row>
    <row r="30" spans="1:8" x14ac:dyDescent="0.35">
      <c r="A30" s="10">
        <v>2012</v>
      </c>
      <c r="B30">
        <v>10</v>
      </c>
      <c r="C30">
        <v>7</v>
      </c>
      <c r="G30" s="10">
        <v>2012</v>
      </c>
      <c r="H30">
        <v>1.9590000000000001</v>
      </c>
    </row>
    <row r="31" spans="1:8" x14ac:dyDescent="0.35">
      <c r="A31" s="10">
        <v>2013</v>
      </c>
      <c r="B31">
        <v>12</v>
      </c>
      <c r="C31">
        <v>8</v>
      </c>
      <c r="G31" s="10">
        <v>2013</v>
      </c>
      <c r="H31">
        <v>1.391</v>
      </c>
    </row>
    <row r="32" spans="1:8" x14ac:dyDescent="0.35">
      <c r="A32" s="10">
        <v>2014</v>
      </c>
      <c r="B32">
        <v>8</v>
      </c>
      <c r="C32">
        <v>7</v>
      </c>
      <c r="G32" s="10">
        <v>2014</v>
      </c>
      <c r="H32">
        <v>3.3980000000000001</v>
      </c>
    </row>
    <row r="33" spans="1:8" x14ac:dyDescent="0.35">
      <c r="A33" s="10">
        <v>2015</v>
      </c>
      <c r="B33">
        <v>5</v>
      </c>
      <c r="C33">
        <v>3</v>
      </c>
      <c r="G33" s="10">
        <v>2015</v>
      </c>
      <c r="H33">
        <v>0.55500000000000005</v>
      </c>
    </row>
    <row r="34" spans="1:8" x14ac:dyDescent="0.35">
      <c r="A34" s="10">
        <v>2017</v>
      </c>
      <c r="B34">
        <v>3</v>
      </c>
      <c r="C34">
        <v>3</v>
      </c>
      <c r="G34" s="10">
        <v>2017</v>
      </c>
      <c r="H34">
        <v>1.099</v>
      </c>
    </row>
    <row r="35" spans="1:8" x14ac:dyDescent="0.35">
      <c r="A35" s="10">
        <v>2019</v>
      </c>
      <c r="B35">
        <v>3</v>
      </c>
      <c r="C35">
        <v>2</v>
      </c>
      <c r="G35" s="10">
        <v>2019</v>
      </c>
      <c r="H35">
        <v>0.313</v>
      </c>
    </row>
    <row r="36" spans="1:8" x14ac:dyDescent="0.35">
      <c r="A36" s="10" t="s">
        <v>1</v>
      </c>
      <c r="B36">
        <v>367.77800000000002</v>
      </c>
      <c r="C36">
        <v>231.88300000000001</v>
      </c>
      <c r="G36" s="10" t="s">
        <v>1</v>
      </c>
      <c r="H36">
        <v>69.407000000000011</v>
      </c>
    </row>
  </sheetData>
  <sheetProtection algorithmName="SHA-512" hashValue="8UWrY9TnKMYhyiVDD7M0j38bekOn3S/wJaJ1crhijTbh4aQi7V2BwSLm/e+qPLxKknNqyO9gdbF41xFoG9JWiw==" saltValue="rOiIBxVikee4CcIINNuqBA==" spinCount="100000" sheet="1" selectLockedCells="1" pivotTables="0"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3DDE7-3E00-4658-8232-4CA87E3A87D5}">
  <sheetPr codeName="Sheet6"/>
  <dimension ref="A1:H36"/>
  <sheetViews>
    <sheetView workbookViewId="0">
      <selection activeCell="B15" sqref="B15"/>
    </sheetView>
  </sheetViews>
  <sheetFormatPr defaultRowHeight="14.5" x14ac:dyDescent="0.35"/>
  <cols>
    <col min="1" max="1" width="11.90625" bestFit="1" customWidth="1"/>
    <col min="2" max="2" width="33.453125" bestFit="1" customWidth="1"/>
    <col min="3" max="3" width="34.453125" bestFit="1" customWidth="1"/>
    <col min="4" max="6" width="13.90625" bestFit="1" customWidth="1"/>
    <col min="7" max="7" width="11.90625" bestFit="1" customWidth="1"/>
    <col min="8" max="8" width="14.90625" bestFit="1" customWidth="1"/>
  </cols>
  <sheetData>
    <row r="1" spans="1:8" x14ac:dyDescent="0.35">
      <c r="A1" s="9" t="s">
        <v>0</v>
      </c>
      <c r="B1" t="s">
        <v>25</v>
      </c>
      <c r="C1" t="s">
        <v>24</v>
      </c>
      <c r="G1" s="9" t="s">
        <v>0</v>
      </c>
      <c r="H1" t="s">
        <v>12</v>
      </c>
    </row>
    <row r="2" spans="1:8" x14ac:dyDescent="0.35">
      <c r="A2" s="10">
        <v>1980</v>
      </c>
      <c r="B2">
        <v>24</v>
      </c>
      <c r="C2">
        <v>13</v>
      </c>
      <c r="G2" s="10">
        <v>1980</v>
      </c>
      <c r="H2">
        <v>2</v>
      </c>
    </row>
    <row r="3" spans="1:8" x14ac:dyDescent="0.35">
      <c r="A3" s="10">
        <v>1981</v>
      </c>
      <c r="B3">
        <v>26</v>
      </c>
      <c r="C3">
        <v>15</v>
      </c>
      <c r="G3" s="10">
        <v>1981</v>
      </c>
      <c r="H3">
        <v>3</v>
      </c>
    </row>
    <row r="4" spans="1:8" x14ac:dyDescent="0.35">
      <c r="A4" s="10">
        <v>1982</v>
      </c>
      <c r="B4">
        <v>20</v>
      </c>
      <c r="C4">
        <v>4</v>
      </c>
      <c r="G4" s="10">
        <v>1982</v>
      </c>
      <c r="H4">
        <v>0.5</v>
      </c>
    </row>
    <row r="5" spans="1:8" x14ac:dyDescent="0.35">
      <c r="A5" s="10">
        <v>1983</v>
      </c>
      <c r="B5">
        <v>22</v>
      </c>
      <c r="C5">
        <v>3</v>
      </c>
      <c r="G5" s="10">
        <v>1983</v>
      </c>
      <c r="H5">
        <v>0.3</v>
      </c>
    </row>
    <row r="6" spans="1:8" x14ac:dyDescent="0.35">
      <c r="A6" s="10">
        <v>1984</v>
      </c>
      <c r="B6">
        <v>17</v>
      </c>
      <c r="C6">
        <v>3</v>
      </c>
      <c r="G6" s="10">
        <v>1984</v>
      </c>
      <c r="H6">
        <v>0.4</v>
      </c>
    </row>
    <row r="7" spans="1:8" x14ac:dyDescent="0.35">
      <c r="A7" s="10">
        <v>1985</v>
      </c>
      <c r="B7">
        <v>15</v>
      </c>
      <c r="C7">
        <v>3</v>
      </c>
      <c r="G7" s="10">
        <v>1985</v>
      </c>
      <c r="H7">
        <v>0.4</v>
      </c>
    </row>
    <row r="8" spans="1:8" x14ac:dyDescent="0.35">
      <c r="A8" s="10">
        <v>1986</v>
      </c>
      <c r="B8">
        <v>15.7</v>
      </c>
      <c r="C8">
        <v>5</v>
      </c>
      <c r="G8" s="10">
        <v>1986</v>
      </c>
      <c r="H8">
        <v>0.49</v>
      </c>
    </row>
    <row r="9" spans="1:8" x14ac:dyDescent="0.35">
      <c r="A9" s="10">
        <v>1987</v>
      </c>
      <c r="B9">
        <v>14.9</v>
      </c>
      <c r="C9">
        <v>2.2000000000000002</v>
      </c>
      <c r="G9" s="10">
        <v>1987</v>
      </c>
      <c r="H9">
        <v>0.28499999999999998</v>
      </c>
    </row>
    <row r="10" spans="1:8" x14ac:dyDescent="0.35">
      <c r="A10" s="10">
        <v>1988</v>
      </c>
      <c r="B10">
        <v>17.100000000000001</v>
      </c>
      <c r="C10">
        <v>9.9</v>
      </c>
      <c r="G10" s="10">
        <v>1988</v>
      </c>
      <c r="H10">
        <v>1.7250000000000001</v>
      </c>
    </row>
    <row r="11" spans="1:8" x14ac:dyDescent="0.35">
      <c r="A11" s="10">
        <v>1989</v>
      </c>
      <c r="B11">
        <v>28.2</v>
      </c>
      <c r="C11">
        <v>15.5</v>
      </c>
      <c r="G11" s="10">
        <v>1989</v>
      </c>
      <c r="H11">
        <v>2.0750000000000002</v>
      </c>
    </row>
    <row r="12" spans="1:8" x14ac:dyDescent="0.35">
      <c r="A12" s="10">
        <v>1990</v>
      </c>
      <c r="B12">
        <v>20</v>
      </c>
      <c r="C12">
        <v>12</v>
      </c>
      <c r="G12" s="10">
        <v>1990</v>
      </c>
      <c r="H12">
        <v>2</v>
      </c>
    </row>
    <row r="13" spans="1:8" x14ac:dyDescent="0.35">
      <c r="A13" s="10">
        <v>1993</v>
      </c>
      <c r="B13">
        <v>27</v>
      </c>
      <c r="C13">
        <v>9</v>
      </c>
      <c r="G13" s="10">
        <v>1993</v>
      </c>
      <c r="H13">
        <v>0.53</v>
      </c>
    </row>
    <row r="14" spans="1:8" x14ac:dyDescent="0.35">
      <c r="A14" s="10">
        <v>1995</v>
      </c>
      <c r="B14">
        <v>26</v>
      </c>
      <c r="C14">
        <v>10</v>
      </c>
      <c r="G14" s="10">
        <v>1995</v>
      </c>
      <c r="H14">
        <v>10.180999999999999</v>
      </c>
    </row>
    <row r="15" spans="1:8" x14ac:dyDescent="0.35">
      <c r="A15" s="10">
        <v>1996</v>
      </c>
      <c r="B15">
        <v>36</v>
      </c>
      <c r="C15">
        <v>25</v>
      </c>
      <c r="G15" s="10">
        <v>1996</v>
      </c>
      <c r="H15">
        <v>3.9140000000000001</v>
      </c>
    </row>
    <row r="16" spans="1:8" x14ac:dyDescent="0.35">
      <c r="A16" s="10">
        <v>1997</v>
      </c>
      <c r="B16">
        <v>77</v>
      </c>
      <c r="C16">
        <v>34</v>
      </c>
      <c r="G16" s="10">
        <v>1997</v>
      </c>
      <c r="H16">
        <v>4.4669999999999996</v>
      </c>
    </row>
    <row r="17" spans="1:8" x14ac:dyDescent="0.35">
      <c r="A17" s="10">
        <v>1998</v>
      </c>
      <c r="B17">
        <v>32</v>
      </c>
      <c r="C17">
        <v>13</v>
      </c>
      <c r="G17" s="10">
        <v>1998</v>
      </c>
      <c r="H17">
        <v>1.19</v>
      </c>
    </row>
    <row r="18" spans="1:8" x14ac:dyDescent="0.35">
      <c r="A18" s="10">
        <v>1999</v>
      </c>
      <c r="B18">
        <v>38</v>
      </c>
      <c r="C18">
        <v>11</v>
      </c>
      <c r="G18" s="10">
        <v>1999</v>
      </c>
      <c r="H18">
        <v>1.3460000000000001</v>
      </c>
    </row>
    <row r="19" spans="1:8" x14ac:dyDescent="0.35">
      <c r="A19" s="10">
        <v>2000</v>
      </c>
      <c r="B19">
        <v>35</v>
      </c>
      <c r="C19">
        <v>22</v>
      </c>
      <c r="G19" s="10">
        <v>2000</v>
      </c>
      <c r="H19">
        <v>4.1020000000000003</v>
      </c>
    </row>
    <row r="20" spans="1:8" x14ac:dyDescent="0.35">
      <c r="A20" s="10">
        <v>2001</v>
      </c>
      <c r="B20">
        <v>15</v>
      </c>
      <c r="C20">
        <v>8</v>
      </c>
      <c r="G20" s="10">
        <v>2001</v>
      </c>
      <c r="H20">
        <v>1.28</v>
      </c>
    </row>
    <row r="21" spans="1:8" x14ac:dyDescent="0.35">
      <c r="A21" s="10">
        <v>2002</v>
      </c>
      <c r="B21">
        <v>30</v>
      </c>
      <c r="C21">
        <v>11</v>
      </c>
      <c r="G21" s="10">
        <v>2002</v>
      </c>
      <c r="H21">
        <v>1.907</v>
      </c>
    </row>
    <row r="22" spans="1:8" x14ac:dyDescent="0.35">
      <c r="A22" s="10">
        <v>2003</v>
      </c>
      <c r="B22">
        <v>11</v>
      </c>
      <c r="C22">
        <v>3</v>
      </c>
      <c r="G22" s="10">
        <v>2003</v>
      </c>
      <c r="H22">
        <v>0.46</v>
      </c>
    </row>
    <row r="23" spans="1:8" x14ac:dyDescent="0.35">
      <c r="A23" s="10">
        <v>2004</v>
      </c>
      <c r="B23">
        <v>14.957000000000001</v>
      </c>
      <c r="C23">
        <v>7.5039999999999996</v>
      </c>
      <c r="G23" s="10">
        <v>2004</v>
      </c>
      <c r="H23">
        <v>2.0299999999999998</v>
      </c>
    </row>
    <row r="24" spans="1:8" x14ac:dyDescent="0.35">
      <c r="A24" s="10">
        <v>2006</v>
      </c>
      <c r="B24">
        <v>23</v>
      </c>
      <c r="C24">
        <v>16</v>
      </c>
      <c r="G24" s="10">
        <v>2006</v>
      </c>
      <c r="H24">
        <v>4.9180000000000001</v>
      </c>
    </row>
    <row r="25" spans="1:8" x14ac:dyDescent="0.35">
      <c r="A25" s="10">
        <v>2007</v>
      </c>
      <c r="B25">
        <v>18.634</v>
      </c>
      <c r="C25">
        <v>3.7320000000000002</v>
      </c>
      <c r="G25" s="10">
        <v>2007</v>
      </c>
      <c r="H25">
        <v>0.80300000000000005</v>
      </c>
    </row>
    <row r="26" spans="1:8" x14ac:dyDescent="0.35">
      <c r="A26" s="10">
        <v>2008</v>
      </c>
      <c r="B26">
        <v>29.545000000000002</v>
      </c>
      <c r="C26">
        <v>13.938000000000001</v>
      </c>
      <c r="G26" s="10">
        <v>2008</v>
      </c>
      <c r="H26">
        <v>2.3050000000000002</v>
      </c>
    </row>
    <row r="27" spans="1:8" x14ac:dyDescent="0.35">
      <c r="A27" s="10">
        <v>2009</v>
      </c>
      <c r="B27">
        <v>31.524999999999999</v>
      </c>
      <c r="C27">
        <v>19.585000000000001</v>
      </c>
      <c r="G27" s="10">
        <v>2009</v>
      </c>
      <c r="H27">
        <v>4.3129999999999997</v>
      </c>
    </row>
    <row r="28" spans="1:8" x14ac:dyDescent="0.35">
      <c r="A28" s="10">
        <v>2010</v>
      </c>
      <c r="B28">
        <v>27.849</v>
      </c>
      <c r="C28">
        <v>16.995000000000001</v>
      </c>
      <c r="G28" s="10">
        <v>2010</v>
      </c>
      <c r="H28">
        <v>3.8730000000000002</v>
      </c>
    </row>
    <row r="29" spans="1:8" x14ac:dyDescent="0.35">
      <c r="A29" s="10">
        <v>2011</v>
      </c>
      <c r="B29">
        <v>29</v>
      </c>
      <c r="C29">
        <v>20</v>
      </c>
      <c r="G29" s="10">
        <v>2011</v>
      </c>
      <c r="H29">
        <v>4.7</v>
      </c>
    </row>
    <row r="30" spans="1:8" x14ac:dyDescent="0.35">
      <c r="A30" s="10">
        <v>2012</v>
      </c>
      <c r="B30">
        <v>31</v>
      </c>
      <c r="C30">
        <v>12</v>
      </c>
      <c r="G30" s="10">
        <v>2012</v>
      </c>
      <c r="H30">
        <v>2.2850000000000001</v>
      </c>
    </row>
    <row r="31" spans="1:8" x14ac:dyDescent="0.35">
      <c r="A31" s="10">
        <v>2013</v>
      </c>
      <c r="B31">
        <v>36</v>
      </c>
      <c r="C31">
        <v>16</v>
      </c>
      <c r="G31" s="10">
        <v>2013</v>
      </c>
      <c r="H31">
        <v>3.6549999999999998</v>
      </c>
    </row>
    <row r="32" spans="1:8" x14ac:dyDescent="0.35">
      <c r="A32" s="10">
        <v>2014</v>
      </c>
      <c r="B32">
        <v>37</v>
      </c>
      <c r="C32">
        <v>25</v>
      </c>
      <c r="G32" s="10">
        <v>2014</v>
      </c>
      <c r="H32">
        <v>6.8259999999999996</v>
      </c>
    </row>
    <row r="33" spans="1:8" x14ac:dyDescent="0.35">
      <c r="A33" s="10">
        <v>2015</v>
      </c>
      <c r="B33">
        <v>23</v>
      </c>
      <c r="C33">
        <v>6</v>
      </c>
      <c r="G33" s="10">
        <v>2015</v>
      </c>
      <c r="H33">
        <v>7.1870000000000003</v>
      </c>
    </row>
    <row r="34" spans="1:8" x14ac:dyDescent="0.35">
      <c r="A34" s="10">
        <v>2017</v>
      </c>
      <c r="B34">
        <v>27</v>
      </c>
      <c r="C34">
        <v>16</v>
      </c>
      <c r="G34" s="10">
        <v>2017</v>
      </c>
      <c r="H34">
        <v>2.3479999999999999</v>
      </c>
    </row>
    <row r="35" spans="1:8" x14ac:dyDescent="0.35">
      <c r="A35" s="10">
        <v>2019</v>
      </c>
      <c r="B35">
        <v>19</v>
      </c>
      <c r="C35">
        <v>6</v>
      </c>
      <c r="G35" s="10">
        <v>2019</v>
      </c>
      <c r="H35">
        <v>0.58299999999999996</v>
      </c>
    </row>
    <row r="36" spans="1:8" x14ac:dyDescent="0.35">
      <c r="A36" s="10" t="s">
        <v>1</v>
      </c>
      <c r="B36">
        <v>894.41</v>
      </c>
      <c r="C36">
        <v>410.35399999999998</v>
      </c>
      <c r="G36" s="10" t="s">
        <v>1</v>
      </c>
      <c r="H36">
        <v>88.377999999999986</v>
      </c>
    </row>
  </sheetData>
  <sheetProtection algorithmName="SHA-512" hashValue="7gxCnBF8bzzm4ox3c00YNp95WYGgf9UtJVHD9956+l2cUqFkEAJ18EZ6efipmOwu9QY9NGyMF6mAdwe0ovMO5w==" saltValue="YmZPjb+BnpDxqYkLzCIM5Q==" spinCount="100000" sheet="1" selectLockedCells="1" pivotTables="0"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847F03-3ABE-405D-890C-10BB995B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selaelo kgafela</dc:creator>
  <cp:lastModifiedBy>selaelo kgafela</cp:lastModifiedBy>
  <dcterms:created xsi:type="dcterms:W3CDTF">2023-06-29T21:01:12Z</dcterms:created>
  <dcterms:modified xsi:type="dcterms:W3CDTF">2023-07-05T12:01:13Z</dcterms:modified>
</cp:coreProperties>
</file>